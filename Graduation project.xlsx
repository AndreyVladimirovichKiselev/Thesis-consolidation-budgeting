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y/Desktop/ВСЕ ПРОЕКТЫ+ДИПЛОМ/"/>
    </mc:Choice>
  </mc:AlternateContent>
  <xr:revisionPtr revIDLastSave="0" documentId="13_ncr:1_{CCA94BDB-E51B-D140-8DCC-B01422AF34FD}" xr6:coauthVersionLast="47" xr6:coauthVersionMax="47" xr10:uidLastSave="{00000000-0000-0000-0000-000000000000}"/>
  <bookViews>
    <workbookView xWindow="-5520" yWindow="-21100" windowWidth="38400" windowHeight="21100" tabRatio="764" xr2:uid="{79EA3802-2090-44D2-8405-14349E7E4863}"/>
  </bookViews>
  <sheets>
    <sheet name="Вводные" sheetId="73" r:id="rId1"/>
    <sheet name="Консолидация---&gt;" sheetId="76" r:id="rId2"/>
    <sheet name="ОДДС" sheetId="78" r:id="rId3"/>
    <sheet name="ОПУ" sheetId="77" r:id="rId4"/>
    <sheet name="Баланс" sheetId="79" r:id="rId5"/>
    <sheet name="Группа компаний Конс.Отчетность" sheetId="80" r:id="rId6"/>
    <sheet name="Финансовые показатели" sheetId="81" r:id="rId7"/>
    <sheet name="План факт анализ" sheetId="82" r:id="rId8"/>
    <sheet name="Факторный анализ" sheetId="83" r:id="rId9"/>
  </sheets>
  <externalReferences>
    <externalReference r:id="rId10"/>
  </externalReferences>
  <definedNames>
    <definedName name="anscount" hidden="1">2</definedName>
    <definedName name="limcount" hidden="1">2</definedName>
    <definedName name="sencount" hidden="1">4</definedName>
    <definedName name="Xперемен">[1]Интервалы!$B$53:$B$113</definedName>
    <definedName name="Yперемен">[1]Интервалы!$C$53:$C$113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" i="81" l="1"/>
  <c r="AB11" i="81"/>
  <c r="AC11" i="81"/>
  <c r="AD11" i="81"/>
  <c r="AE11" i="81"/>
  <c r="AF11" i="81"/>
  <c r="Z11" i="81"/>
  <c r="X11" i="81"/>
  <c r="R11" i="81"/>
  <c r="P11" i="81"/>
  <c r="O11" i="81"/>
  <c r="N11" i="81"/>
  <c r="M11" i="81"/>
  <c r="L11" i="81"/>
  <c r="K11" i="81"/>
  <c r="J11" i="81"/>
  <c r="C11" i="81"/>
  <c r="D11" i="81"/>
  <c r="E11" i="81"/>
  <c r="F11" i="81"/>
  <c r="G11" i="81"/>
  <c r="H11" i="81"/>
  <c r="B11" i="81"/>
  <c r="S5" i="81" l="1"/>
  <c r="T5" i="81"/>
  <c r="U5" i="81"/>
  <c r="V5" i="81"/>
  <c r="W5" i="81"/>
  <c r="X5" i="81"/>
  <c r="R5" i="81"/>
  <c r="F34" i="80" l="1"/>
  <c r="AD34" i="77" l="1"/>
  <c r="AI5" i="73"/>
  <c r="C29" i="83" l="1"/>
  <c r="B29" i="83"/>
  <c r="C28" i="83"/>
  <c r="B28" i="83"/>
  <c r="C27" i="83"/>
  <c r="B27" i="83"/>
  <c r="C26" i="83"/>
  <c r="B26" i="83"/>
  <c r="C25" i="83"/>
  <c r="B25" i="83"/>
  <c r="S11" i="83"/>
  <c r="R11" i="83"/>
  <c r="O11" i="83"/>
  <c r="N11" i="83"/>
  <c r="K11" i="83"/>
  <c r="J11" i="83"/>
  <c r="G11" i="83"/>
  <c r="F11" i="83"/>
  <c r="C11" i="83"/>
  <c r="B11" i="83"/>
  <c r="U19" i="83"/>
  <c r="T19" i="83"/>
  <c r="P19" i="83"/>
  <c r="Q19" i="83" s="1"/>
  <c r="M19" i="83"/>
  <c r="L19" i="83"/>
  <c r="H19" i="83"/>
  <c r="I19" i="83" s="1"/>
  <c r="D19" i="83"/>
  <c r="E19" i="83" s="1"/>
  <c r="T18" i="83"/>
  <c r="U18" i="83" s="1"/>
  <c r="P18" i="83"/>
  <c r="Q18" i="83" s="1"/>
  <c r="L18" i="83"/>
  <c r="M18" i="83" s="1"/>
  <c r="H18" i="83"/>
  <c r="I18" i="83" s="1"/>
  <c r="D18" i="83"/>
  <c r="E18" i="83" s="1"/>
  <c r="T17" i="83"/>
  <c r="U17" i="83" s="1"/>
  <c r="P17" i="83"/>
  <c r="Q17" i="83" s="1"/>
  <c r="L17" i="83"/>
  <c r="M17" i="83" s="1"/>
  <c r="H17" i="83"/>
  <c r="I17" i="83" s="1"/>
  <c r="D17" i="83"/>
  <c r="E17" i="83" s="1"/>
  <c r="T16" i="83"/>
  <c r="U16" i="83" s="1"/>
  <c r="P16" i="83"/>
  <c r="Q16" i="83" s="1"/>
  <c r="L16" i="83"/>
  <c r="M16" i="83" s="1"/>
  <c r="H16" i="83"/>
  <c r="I16" i="83" s="1"/>
  <c r="D16" i="83"/>
  <c r="E16" i="83" s="1"/>
  <c r="T15" i="83"/>
  <c r="U15" i="83" s="1"/>
  <c r="P15" i="83"/>
  <c r="Q15" i="83" s="1"/>
  <c r="L15" i="83"/>
  <c r="M15" i="83" s="1"/>
  <c r="H15" i="83"/>
  <c r="I15" i="83" s="1"/>
  <c r="D15" i="83"/>
  <c r="E15" i="83" s="1"/>
  <c r="T14" i="83"/>
  <c r="U14" i="83" s="1"/>
  <c r="P14" i="83"/>
  <c r="Q14" i="83" s="1"/>
  <c r="L14" i="83"/>
  <c r="M14" i="83" s="1"/>
  <c r="H14" i="83"/>
  <c r="I14" i="83" s="1"/>
  <c r="D14" i="83"/>
  <c r="E14" i="83" s="1"/>
  <c r="T13" i="83"/>
  <c r="U13" i="83" s="1"/>
  <c r="P13" i="83"/>
  <c r="Q13" i="83" s="1"/>
  <c r="L13" i="83"/>
  <c r="M13" i="83" s="1"/>
  <c r="H13" i="83"/>
  <c r="I13" i="83" s="1"/>
  <c r="D13" i="83"/>
  <c r="E13" i="83" s="1"/>
  <c r="T10" i="83"/>
  <c r="U10" i="83" s="1"/>
  <c r="P10" i="83"/>
  <c r="Q10" i="83" s="1"/>
  <c r="L10" i="83"/>
  <c r="M10" i="83" s="1"/>
  <c r="H10" i="83"/>
  <c r="I10" i="83" s="1"/>
  <c r="D10" i="83"/>
  <c r="E10" i="83" s="1"/>
  <c r="T9" i="83"/>
  <c r="U9" i="83" s="1"/>
  <c r="P9" i="83"/>
  <c r="Q9" i="83" s="1"/>
  <c r="L9" i="83"/>
  <c r="M9" i="83" s="1"/>
  <c r="H9" i="83"/>
  <c r="I9" i="83" s="1"/>
  <c r="D9" i="83"/>
  <c r="E9" i="83" s="1"/>
  <c r="T8" i="83"/>
  <c r="U8" i="83" s="1"/>
  <c r="P8" i="83"/>
  <c r="Q8" i="83" s="1"/>
  <c r="L8" i="83"/>
  <c r="M8" i="83" s="1"/>
  <c r="H8" i="83"/>
  <c r="I8" i="83" s="1"/>
  <c r="D8" i="83"/>
  <c r="E8" i="83" s="1"/>
  <c r="T7" i="83"/>
  <c r="U7" i="83" s="1"/>
  <c r="P7" i="83"/>
  <c r="Q7" i="83" s="1"/>
  <c r="L7" i="83"/>
  <c r="M7" i="83" s="1"/>
  <c r="H7" i="83"/>
  <c r="I7" i="83" s="1"/>
  <c r="D7" i="83"/>
  <c r="E7" i="83" s="1"/>
  <c r="T6" i="83"/>
  <c r="U6" i="83" s="1"/>
  <c r="P6" i="83"/>
  <c r="Q6" i="83" s="1"/>
  <c r="L6" i="83"/>
  <c r="M6" i="83" s="1"/>
  <c r="H6" i="83"/>
  <c r="I6" i="83" s="1"/>
  <c r="D6" i="83"/>
  <c r="E6" i="83" s="1"/>
  <c r="T5" i="83"/>
  <c r="U5" i="83" s="1"/>
  <c r="P5" i="83"/>
  <c r="Q5" i="83" s="1"/>
  <c r="L5" i="83"/>
  <c r="M5" i="83" s="1"/>
  <c r="H5" i="83"/>
  <c r="I5" i="83" s="1"/>
  <c r="D5" i="83"/>
  <c r="E5" i="83" s="1"/>
  <c r="T4" i="83"/>
  <c r="U4" i="83" s="1"/>
  <c r="P4" i="83"/>
  <c r="Q4" i="83" s="1"/>
  <c r="L4" i="83"/>
  <c r="M4" i="83" s="1"/>
  <c r="H4" i="83"/>
  <c r="I4" i="83" s="1"/>
  <c r="D4" i="83"/>
  <c r="E4" i="83" s="1"/>
  <c r="E11" i="83" l="1"/>
  <c r="I11" i="83"/>
  <c r="M11" i="83"/>
  <c r="Q11" i="83"/>
  <c r="U11" i="83"/>
  <c r="D25" i="83"/>
  <c r="E25" i="83" s="1"/>
  <c r="D26" i="83"/>
  <c r="E26" i="83" s="1"/>
  <c r="D27" i="83"/>
  <c r="E27" i="83" s="1"/>
  <c r="D28" i="83"/>
  <c r="E28" i="83" s="1"/>
  <c r="D29" i="83"/>
  <c r="E29" i="83" s="1"/>
  <c r="T4" i="82"/>
  <c r="U4" i="82" s="1"/>
  <c r="T5" i="82"/>
  <c r="U5" i="82" s="1"/>
  <c r="T6" i="82"/>
  <c r="U6" i="82" s="1"/>
  <c r="T7" i="82"/>
  <c r="U7" i="82" s="1"/>
  <c r="T8" i="82"/>
  <c r="T9" i="82"/>
  <c r="U9" i="82" s="1"/>
  <c r="T10" i="82"/>
  <c r="U10" i="82" s="1"/>
  <c r="T11" i="82"/>
  <c r="U11" i="82" s="1"/>
  <c r="T12" i="82"/>
  <c r="U12" i="82" s="1"/>
  <c r="T13" i="82"/>
  <c r="U13" i="82" s="1"/>
  <c r="T14" i="82"/>
  <c r="U14" i="82" s="1"/>
  <c r="T15" i="82"/>
  <c r="U15" i="82" s="1"/>
  <c r="T16" i="82"/>
  <c r="U16" i="82" s="1"/>
  <c r="T17" i="82"/>
  <c r="U17" i="82" s="1"/>
  <c r="T18" i="82"/>
  <c r="U18" i="82" s="1"/>
  <c r="T19" i="82"/>
  <c r="U19" i="82" s="1"/>
  <c r="T20" i="82"/>
  <c r="U20" i="82" s="1"/>
  <c r="T21" i="82"/>
  <c r="U21" i="82" s="1"/>
  <c r="T22" i="82"/>
  <c r="U22" i="82" s="1"/>
  <c r="T23" i="82"/>
  <c r="U23" i="82" s="1"/>
  <c r="T24" i="82"/>
  <c r="U24" i="82" s="1"/>
  <c r="T25" i="82"/>
  <c r="U25" i="82" s="1"/>
  <c r="T26" i="82"/>
  <c r="U26" i="82" s="1"/>
  <c r="T27" i="82"/>
  <c r="U27" i="82" s="1"/>
  <c r="T28" i="82"/>
  <c r="U28" i="82" s="1"/>
  <c r="T29" i="82"/>
  <c r="U29" i="82" s="1"/>
  <c r="T30" i="82"/>
  <c r="U30" i="82" s="1"/>
  <c r="T31" i="82"/>
  <c r="U31" i="82" s="1"/>
  <c r="T32" i="82"/>
  <c r="U32" i="82" s="1"/>
  <c r="T33" i="82"/>
  <c r="U33" i="82" s="1"/>
  <c r="T34" i="82"/>
  <c r="U34" i="82" s="1"/>
  <c r="T3" i="82"/>
  <c r="U3" i="82" s="1"/>
  <c r="P4" i="82"/>
  <c r="P5" i="82"/>
  <c r="P6" i="82"/>
  <c r="P7" i="82"/>
  <c r="P8" i="82"/>
  <c r="Q8" i="82" s="1"/>
  <c r="P9" i="82"/>
  <c r="Q9" i="82" s="1"/>
  <c r="P10" i="82"/>
  <c r="Q10" i="82" s="1"/>
  <c r="P11" i="82"/>
  <c r="Q11" i="82" s="1"/>
  <c r="P12" i="82"/>
  <c r="Q12" i="82" s="1"/>
  <c r="P13" i="82"/>
  <c r="Q13" i="82" s="1"/>
  <c r="P14" i="82"/>
  <c r="Q14" i="82" s="1"/>
  <c r="P15" i="82"/>
  <c r="Q15" i="82" s="1"/>
  <c r="P16" i="82"/>
  <c r="Q16" i="82" s="1"/>
  <c r="P17" i="82"/>
  <c r="Q17" i="82" s="1"/>
  <c r="P18" i="82"/>
  <c r="Q18" i="82" s="1"/>
  <c r="P19" i="82"/>
  <c r="Q19" i="82" s="1"/>
  <c r="P20" i="82"/>
  <c r="Q20" i="82" s="1"/>
  <c r="P21" i="82"/>
  <c r="Q21" i="82" s="1"/>
  <c r="P22" i="82"/>
  <c r="P23" i="82"/>
  <c r="Q23" i="82" s="1"/>
  <c r="P24" i="82"/>
  <c r="P25" i="82"/>
  <c r="Q25" i="82" s="1"/>
  <c r="P26" i="82"/>
  <c r="P27" i="82"/>
  <c r="Q27" i="82" s="1"/>
  <c r="P28" i="82"/>
  <c r="Q28" i="82" s="1"/>
  <c r="P29" i="82"/>
  <c r="Q29" i="82" s="1"/>
  <c r="P30" i="82"/>
  <c r="Q30" i="82" s="1"/>
  <c r="P31" i="82"/>
  <c r="P32" i="82"/>
  <c r="P33" i="82"/>
  <c r="Q33" i="82" s="1"/>
  <c r="P34" i="82"/>
  <c r="Q34" i="82" s="1"/>
  <c r="P3" i="82"/>
  <c r="Q3" i="82" s="1"/>
  <c r="L4" i="82"/>
  <c r="L5" i="82"/>
  <c r="L6" i="82"/>
  <c r="L7" i="82"/>
  <c r="M7" i="82" s="1"/>
  <c r="L8" i="82"/>
  <c r="L9" i="82"/>
  <c r="M9" i="82" s="1"/>
  <c r="L10" i="82"/>
  <c r="M10" i="82" s="1"/>
  <c r="L11" i="82"/>
  <c r="M11" i="82" s="1"/>
  <c r="L12" i="82"/>
  <c r="M12" i="82" s="1"/>
  <c r="L13" i="82"/>
  <c r="M13" i="82" s="1"/>
  <c r="L14" i="82"/>
  <c r="M14" i="82" s="1"/>
  <c r="L15" i="82"/>
  <c r="M15" i="82" s="1"/>
  <c r="L16" i="82"/>
  <c r="M16" i="82" s="1"/>
  <c r="L17" i="82"/>
  <c r="M17" i="82" s="1"/>
  <c r="L18" i="82"/>
  <c r="M18" i="82" s="1"/>
  <c r="L19" i="82"/>
  <c r="M19" i="82" s="1"/>
  <c r="L20" i="82"/>
  <c r="M20" i="82" s="1"/>
  <c r="L21" i="82"/>
  <c r="M21" i="82" s="1"/>
  <c r="L22" i="82"/>
  <c r="M22" i="82" s="1"/>
  <c r="L23" i="82"/>
  <c r="M23" i="82" s="1"/>
  <c r="L24" i="82"/>
  <c r="L25" i="82"/>
  <c r="M25" i="82" s="1"/>
  <c r="L26" i="82"/>
  <c r="L27" i="82"/>
  <c r="M27" i="82" s="1"/>
  <c r="L28" i="82"/>
  <c r="M28" i="82" s="1"/>
  <c r="L29" i="82"/>
  <c r="M29" i="82" s="1"/>
  <c r="L30" i="82"/>
  <c r="M30" i="82" s="1"/>
  <c r="L31" i="82"/>
  <c r="L32" i="82"/>
  <c r="L33" i="82"/>
  <c r="M33" i="82" s="1"/>
  <c r="L34" i="82"/>
  <c r="M34" i="82" s="1"/>
  <c r="L3" i="82"/>
  <c r="M3" i="82" s="1"/>
  <c r="H4" i="82"/>
  <c r="H5" i="82"/>
  <c r="I5" i="82" s="1"/>
  <c r="H6" i="82"/>
  <c r="I6" i="82" s="1"/>
  <c r="H7" i="82"/>
  <c r="H8" i="82"/>
  <c r="H9" i="82"/>
  <c r="I9" i="82" s="1"/>
  <c r="H10" i="82"/>
  <c r="I10" i="82" s="1"/>
  <c r="H11" i="82"/>
  <c r="I11" i="82" s="1"/>
  <c r="H12" i="82"/>
  <c r="I12" i="82" s="1"/>
  <c r="H13" i="82"/>
  <c r="I13" i="82" s="1"/>
  <c r="H14" i="82"/>
  <c r="I14" i="82" s="1"/>
  <c r="H15" i="82"/>
  <c r="I15" i="82" s="1"/>
  <c r="H16" i="82"/>
  <c r="I16" i="82" s="1"/>
  <c r="H17" i="82"/>
  <c r="I17" i="82" s="1"/>
  <c r="H18" i="82"/>
  <c r="I18" i="82" s="1"/>
  <c r="H19" i="82"/>
  <c r="I19" i="82" s="1"/>
  <c r="H20" i="82"/>
  <c r="I20" i="82" s="1"/>
  <c r="H21" i="82"/>
  <c r="I21" i="82" s="1"/>
  <c r="H22" i="82"/>
  <c r="I22" i="82" s="1"/>
  <c r="H23" i="82"/>
  <c r="I23" i="82" s="1"/>
  <c r="H24" i="82"/>
  <c r="H25" i="82"/>
  <c r="I25" i="82" s="1"/>
  <c r="H26" i="82"/>
  <c r="H27" i="82"/>
  <c r="I27" i="82" s="1"/>
  <c r="H28" i="82"/>
  <c r="I28" i="82" s="1"/>
  <c r="H29" i="82"/>
  <c r="I29" i="82" s="1"/>
  <c r="H30" i="82"/>
  <c r="I30" i="82" s="1"/>
  <c r="H31" i="82"/>
  <c r="H32" i="82"/>
  <c r="H33" i="82"/>
  <c r="I33" i="82" s="1"/>
  <c r="H34" i="82"/>
  <c r="I34" i="82" s="1"/>
  <c r="H3" i="82"/>
  <c r="I3" i="82" s="1"/>
  <c r="D13" i="82" l="1"/>
  <c r="E13" i="82" s="1"/>
  <c r="D14" i="82"/>
  <c r="E14" i="82" s="1"/>
  <c r="D15" i="82"/>
  <c r="E15" i="82" s="1"/>
  <c r="D16" i="82"/>
  <c r="E16" i="82" s="1"/>
  <c r="D17" i="82"/>
  <c r="E17" i="82" s="1"/>
  <c r="D18" i="82"/>
  <c r="E18" i="82" s="1"/>
  <c r="D19" i="82"/>
  <c r="E19" i="82" s="1"/>
  <c r="D20" i="82"/>
  <c r="E20" i="82" s="1"/>
  <c r="D21" i="82"/>
  <c r="E21" i="82" s="1"/>
  <c r="D22" i="82"/>
  <c r="E22" i="82" s="1"/>
  <c r="D23" i="82"/>
  <c r="E23" i="82" s="1"/>
  <c r="D24" i="82"/>
  <c r="D25" i="82"/>
  <c r="E25" i="82" s="1"/>
  <c r="D26" i="82"/>
  <c r="E26" i="82" s="1"/>
  <c r="D27" i="82"/>
  <c r="E27" i="82" s="1"/>
  <c r="D28" i="82"/>
  <c r="E28" i="82" s="1"/>
  <c r="D29" i="82"/>
  <c r="E29" i="82" s="1"/>
  <c r="D30" i="82"/>
  <c r="E30" i="82" s="1"/>
  <c r="D31" i="82"/>
  <c r="D32" i="82"/>
  <c r="D33" i="82"/>
  <c r="E33" i="82" s="1"/>
  <c r="D34" i="82"/>
  <c r="E34" i="82" s="1"/>
  <c r="D10" i="82"/>
  <c r="E10" i="82" s="1"/>
  <c r="D11" i="82"/>
  <c r="E11" i="82" s="1"/>
  <c r="D12" i="82"/>
  <c r="E12" i="82" s="1"/>
  <c r="D9" i="82"/>
  <c r="E9" i="82" s="1"/>
  <c r="D4" i="82"/>
  <c r="E4" i="82" s="1"/>
  <c r="D5" i="82"/>
  <c r="D6" i="82"/>
  <c r="D7" i="82"/>
  <c r="D8" i="82"/>
  <c r="D3" i="82"/>
  <c r="E3" i="82" s="1"/>
  <c r="AI18" i="81" l="1"/>
  <c r="AJ18" i="81"/>
  <c r="AK18" i="81"/>
  <c r="AL18" i="81"/>
  <c r="AM18" i="81"/>
  <c r="AN18" i="81"/>
  <c r="AH18" i="81"/>
  <c r="AI17" i="81"/>
  <c r="AJ17" i="81"/>
  <c r="AK17" i="81"/>
  <c r="AL17" i="81"/>
  <c r="AM17" i="81"/>
  <c r="AN17" i="81"/>
  <c r="AH17" i="81"/>
  <c r="AI16" i="81"/>
  <c r="AJ16" i="81"/>
  <c r="AK16" i="81"/>
  <c r="AL16" i="81"/>
  <c r="AM16" i="81"/>
  <c r="AN16" i="81"/>
  <c r="AH16" i="81"/>
  <c r="AI15" i="81"/>
  <c r="AJ15" i="81"/>
  <c r="AK15" i="81"/>
  <c r="AL15" i="81"/>
  <c r="AM15" i="81"/>
  <c r="AN15" i="81"/>
  <c r="AH15" i="81"/>
  <c r="AI13" i="81"/>
  <c r="AJ13" i="81"/>
  <c r="AK13" i="81"/>
  <c r="AL13" i="81"/>
  <c r="AM13" i="81"/>
  <c r="AN13" i="81"/>
  <c r="AH13" i="81"/>
  <c r="AI12" i="81"/>
  <c r="AJ12" i="81"/>
  <c r="AK12" i="81"/>
  <c r="AL12" i="81"/>
  <c r="AM12" i="81"/>
  <c r="AN12" i="81"/>
  <c r="AH12" i="81"/>
  <c r="AI11" i="81"/>
  <c r="AJ11" i="81"/>
  <c r="AK11" i="81"/>
  <c r="AL11" i="81"/>
  <c r="AM11" i="81"/>
  <c r="AN11" i="81"/>
  <c r="AH11" i="81"/>
  <c r="AI9" i="81"/>
  <c r="AJ9" i="81"/>
  <c r="AK9" i="81"/>
  <c r="AL9" i="81"/>
  <c r="AM9" i="81"/>
  <c r="AN9" i="81"/>
  <c r="AH9" i="81"/>
  <c r="AI8" i="81"/>
  <c r="AJ8" i="81"/>
  <c r="AK8" i="81"/>
  <c r="AL8" i="81"/>
  <c r="AM8" i="81"/>
  <c r="AN8" i="81"/>
  <c r="AH8" i="81"/>
  <c r="AI7" i="81"/>
  <c r="AJ7" i="81"/>
  <c r="AK7" i="81"/>
  <c r="AL7" i="81"/>
  <c r="AM7" i="81"/>
  <c r="AN7" i="81"/>
  <c r="AH7" i="81"/>
  <c r="AI6" i="81"/>
  <c r="AJ6" i="81"/>
  <c r="AK6" i="81"/>
  <c r="AL6" i="81"/>
  <c r="AM6" i="81"/>
  <c r="AN6" i="81"/>
  <c r="AH6" i="81"/>
  <c r="AI5" i="81"/>
  <c r="AJ5" i="81"/>
  <c r="AK5" i="81"/>
  <c r="AL5" i="81"/>
  <c r="AM5" i="81"/>
  <c r="AN5" i="81"/>
  <c r="AH5" i="81"/>
  <c r="AI4" i="81"/>
  <c r="AJ4" i="81"/>
  <c r="AK4" i="81"/>
  <c r="AL4" i="81"/>
  <c r="AM4" i="81"/>
  <c r="AN4" i="81"/>
  <c r="AH4" i="81"/>
  <c r="C139" i="73" l="1"/>
  <c r="B13" i="81" s="1"/>
  <c r="AT24" i="79" l="1"/>
  <c r="AR24" i="79" s="1"/>
  <c r="AR32" i="79"/>
  <c r="AR31" i="79"/>
  <c r="AR29" i="79"/>
  <c r="AR28" i="79"/>
  <c r="AR21" i="79"/>
  <c r="AR15" i="79"/>
  <c r="AR14" i="79"/>
  <c r="AR6" i="79"/>
  <c r="AR7" i="79"/>
  <c r="AR5" i="79"/>
  <c r="AM24" i="79"/>
  <c r="AK24" i="79" s="1"/>
  <c r="AK32" i="79"/>
  <c r="AK31" i="79"/>
  <c r="AK29" i="79"/>
  <c r="AK28" i="79"/>
  <c r="AK21" i="79"/>
  <c r="AK15" i="79"/>
  <c r="AK14" i="79"/>
  <c r="AK6" i="79"/>
  <c r="AK7" i="79"/>
  <c r="AK5" i="79"/>
  <c r="AF24" i="79"/>
  <c r="AD24" i="79" s="1"/>
  <c r="AD32" i="79"/>
  <c r="AD31" i="79"/>
  <c r="AD29" i="79"/>
  <c r="AD28" i="79"/>
  <c r="AD21" i="79"/>
  <c r="AD15" i="79"/>
  <c r="AD14" i="79"/>
  <c r="AD6" i="79"/>
  <c r="AD7" i="79"/>
  <c r="AD5" i="79"/>
  <c r="W32" i="79"/>
  <c r="W31" i="79"/>
  <c r="W29" i="79"/>
  <c r="W28" i="79"/>
  <c r="Y24" i="79"/>
  <c r="W24" i="79" s="1"/>
  <c r="B32" i="79"/>
  <c r="B31" i="79"/>
  <c r="B29" i="79"/>
  <c r="I32" i="79"/>
  <c r="I31" i="79"/>
  <c r="I29" i="79"/>
  <c r="P28" i="79"/>
  <c r="W21" i="79"/>
  <c r="W15" i="79"/>
  <c r="W14" i="79"/>
  <c r="W6" i="79"/>
  <c r="W7" i="79"/>
  <c r="P7" i="79"/>
  <c r="W5" i="79"/>
  <c r="P32" i="79"/>
  <c r="P31" i="79"/>
  <c r="P29" i="79"/>
  <c r="R24" i="79"/>
  <c r="P24" i="79" s="1"/>
  <c r="P21" i="79"/>
  <c r="I15" i="79"/>
  <c r="P15" i="79"/>
  <c r="P14" i="79"/>
  <c r="P6" i="79"/>
  <c r="P5" i="79"/>
  <c r="K24" i="79"/>
  <c r="I24" i="79" s="1"/>
  <c r="I21" i="79"/>
  <c r="B15" i="79"/>
  <c r="G7" i="79"/>
  <c r="B7" i="79" s="1"/>
  <c r="N7" i="79" l="1"/>
  <c r="I14" i="79"/>
  <c r="I6" i="79"/>
  <c r="I5" i="79"/>
  <c r="D24" i="79"/>
  <c r="B24" i="79" s="1"/>
  <c r="I7" i="79" l="1"/>
  <c r="G28" i="79"/>
  <c r="N28" i="79" s="1"/>
  <c r="I28" i="79" s="1"/>
  <c r="I27" i="79" s="1"/>
  <c r="B14" i="79"/>
  <c r="H88" i="79"/>
  <c r="B92" i="79"/>
  <c r="C92" i="79"/>
  <c r="D92" i="79"/>
  <c r="E92" i="79"/>
  <c r="F92" i="79"/>
  <c r="G92" i="79"/>
  <c r="H92" i="79"/>
  <c r="C90" i="79"/>
  <c r="D90" i="79"/>
  <c r="E90" i="79"/>
  <c r="F90" i="79"/>
  <c r="G90" i="79"/>
  <c r="H90" i="79"/>
  <c r="B90" i="79"/>
  <c r="C88" i="79"/>
  <c r="D88" i="79"/>
  <c r="E88" i="79"/>
  <c r="F88" i="79"/>
  <c r="G88" i="79"/>
  <c r="B88" i="79"/>
  <c r="C81" i="79"/>
  <c r="D81" i="79"/>
  <c r="E81" i="79"/>
  <c r="F81" i="79"/>
  <c r="G81" i="79"/>
  <c r="H81" i="79"/>
  <c r="B81" i="79"/>
  <c r="C77" i="79"/>
  <c r="D77" i="79"/>
  <c r="E77" i="79"/>
  <c r="F77" i="79"/>
  <c r="G77" i="79"/>
  <c r="H77" i="79"/>
  <c r="B77" i="79"/>
  <c r="C70" i="79"/>
  <c r="C96" i="79" s="1"/>
  <c r="D70" i="79"/>
  <c r="D96" i="79" s="1"/>
  <c r="E70" i="79"/>
  <c r="E96" i="79" s="1"/>
  <c r="F70" i="79"/>
  <c r="F96" i="79" s="1"/>
  <c r="G70" i="79"/>
  <c r="G96" i="79" s="1"/>
  <c r="H70" i="79"/>
  <c r="H96" i="79" s="1"/>
  <c r="B70" i="79"/>
  <c r="C65" i="79"/>
  <c r="C98" i="79" s="1"/>
  <c r="D65" i="79"/>
  <c r="D98" i="79" s="1"/>
  <c r="E65" i="79"/>
  <c r="E98" i="79" s="1"/>
  <c r="F65" i="79"/>
  <c r="F98" i="79" s="1"/>
  <c r="G65" i="79"/>
  <c r="G98" i="79" s="1"/>
  <c r="H65" i="79"/>
  <c r="H98" i="79" s="1"/>
  <c r="B65" i="79"/>
  <c r="B98" i="79" s="1"/>
  <c r="H10" i="79" s="1"/>
  <c r="C60" i="79"/>
  <c r="C97" i="79" s="1"/>
  <c r="D60" i="79"/>
  <c r="D97" i="79" s="1"/>
  <c r="E60" i="79"/>
  <c r="E97" i="79" s="1"/>
  <c r="F60" i="79"/>
  <c r="F97" i="79" s="1"/>
  <c r="G60" i="79"/>
  <c r="G97" i="79" s="1"/>
  <c r="H60" i="79"/>
  <c r="H97" i="79" s="1"/>
  <c r="B60" i="79"/>
  <c r="B97" i="79" s="1"/>
  <c r="H9" i="79" s="1"/>
  <c r="C55" i="79"/>
  <c r="D55" i="79"/>
  <c r="E55" i="79"/>
  <c r="F55" i="79"/>
  <c r="G55" i="79"/>
  <c r="H55" i="79"/>
  <c r="B55" i="79"/>
  <c r="C54" i="79"/>
  <c r="D54" i="79"/>
  <c r="E54" i="79"/>
  <c r="F54" i="79"/>
  <c r="G54" i="79"/>
  <c r="H54" i="79"/>
  <c r="H71" i="79" s="1"/>
  <c r="B54" i="79"/>
  <c r="C43" i="79"/>
  <c r="D43" i="79"/>
  <c r="E43" i="79"/>
  <c r="F43" i="79"/>
  <c r="G43" i="79"/>
  <c r="H43" i="79"/>
  <c r="B43" i="79"/>
  <c r="C42" i="79"/>
  <c r="D42" i="79"/>
  <c r="E42" i="79"/>
  <c r="F42" i="79"/>
  <c r="G42" i="79"/>
  <c r="H42" i="79"/>
  <c r="B42" i="79"/>
  <c r="C51" i="79"/>
  <c r="D51" i="79"/>
  <c r="E51" i="79"/>
  <c r="F51" i="79"/>
  <c r="G51" i="79"/>
  <c r="H51" i="79"/>
  <c r="B51" i="79"/>
  <c r="C50" i="79"/>
  <c r="D50" i="79"/>
  <c r="E50" i="79"/>
  <c r="F50" i="79"/>
  <c r="G50" i="79"/>
  <c r="H50" i="79"/>
  <c r="B50" i="79"/>
  <c r="C47" i="79"/>
  <c r="D47" i="79"/>
  <c r="E47" i="79"/>
  <c r="F47" i="79"/>
  <c r="G47" i="79"/>
  <c r="H47" i="79"/>
  <c r="B47" i="79"/>
  <c r="C46" i="79"/>
  <c r="D46" i="79"/>
  <c r="E46" i="79"/>
  <c r="F46" i="79"/>
  <c r="G46" i="79"/>
  <c r="H46" i="79"/>
  <c r="B46" i="79"/>
  <c r="B21" i="79"/>
  <c r="B6" i="79"/>
  <c r="B5" i="79"/>
  <c r="BF30" i="79"/>
  <c r="AR30" i="79" s="1"/>
  <c r="BE30" i="79"/>
  <c r="AK30" i="79" s="1"/>
  <c r="BD30" i="79"/>
  <c r="AD30" i="79" s="1"/>
  <c r="BC30" i="79"/>
  <c r="W30" i="79" s="1"/>
  <c r="BB30" i="79"/>
  <c r="P30" i="79" s="1"/>
  <c r="BA30" i="79"/>
  <c r="I30" i="79" s="1"/>
  <c r="AZ30" i="79"/>
  <c r="B30" i="79" s="1"/>
  <c r="BF27" i="79"/>
  <c r="BE27" i="79"/>
  <c r="BD27" i="79"/>
  <c r="AD27" i="79" s="1"/>
  <c r="BC27" i="79"/>
  <c r="BB27" i="79"/>
  <c r="BA27" i="79"/>
  <c r="AZ27" i="79"/>
  <c r="BF22" i="79"/>
  <c r="BF19" i="79" s="1"/>
  <c r="BF18" i="79" s="1"/>
  <c r="BE22" i="79"/>
  <c r="BE19" i="79" s="1"/>
  <c r="BE18" i="79" s="1"/>
  <c r="BD22" i="79"/>
  <c r="BD19" i="79" s="1"/>
  <c r="BD18" i="79" s="1"/>
  <c r="BC22" i="79"/>
  <c r="BC19" i="79" s="1"/>
  <c r="BC18" i="79" s="1"/>
  <c r="BB22" i="79"/>
  <c r="BB19" i="79" s="1"/>
  <c r="BB18" i="79" s="1"/>
  <c r="BA22" i="79"/>
  <c r="BA19" i="79" s="1"/>
  <c r="BA18" i="79" s="1"/>
  <c r="AZ22" i="79"/>
  <c r="AZ19" i="79" s="1"/>
  <c r="AZ18" i="79" s="1"/>
  <c r="BF13" i="79"/>
  <c r="AR13" i="79" s="1"/>
  <c r="BE13" i="79"/>
  <c r="AK13" i="79" s="1"/>
  <c r="BD13" i="79"/>
  <c r="AD13" i="79" s="1"/>
  <c r="BC13" i="79"/>
  <c r="W13" i="79" s="1"/>
  <c r="BB13" i="79"/>
  <c r="P13" i="79" s="1"/>
  <c r="BA13" i="79"/>
  <c r="I13" i="79" s="1"/>
  <c r="AZ13" i="79"/>
  <c r="B13" i="79" s="1"/>
  <c r="BF4" i="79"/>
  <c r="BE4" i="79"/>
  <c r="BD4" i="79"/>
  <c r="BC4" i="79"/>
  <c r="BB4" i="79"/>
  <c r="BA4" i="79"/>
  <c r="AZ4" i="79"/>
  <c r="AT17" i="78"/>
  <c r="AS17" i="78"/>
  <c r="AR17" i="78"/>
  <c r="AQ17" i="78"/>
  <c r="AP17" i="78"/>
  <c r="AO17" i="78"/>
  <c r="AR9" i="78"/>
  <c r="AQ9" i="78"/>
  <c r="AO9" i="78" s="1"/>
  <c r="AT8" i="78"/>
  <c r="AO8" i="78" s="1"/>
  <c r="AS7" i="78"/>
  <c r="AP7" i="78"/>
  <c r="AO7" i="78" s="1"/>
  <c r="AO31" i="78"/>
  <c r="AO30" i="78"/>
  <c r="AO29" i="78"/>
  <c r="AO28" i="78"/>
  <c r="AO32" i="78" s="1"/>
  <c r="AO23" i="78"/>
  <c r="AO22" i="78"/>
  <c r="AO21" i="78"/>
  <c r="AO20" i="78"/>
  <c r="AO24" i="78" s="1"/>
  <c r="AO16" i="78"/>
  <c r="AO15" i="78"/>
  <c r="AO14" i="78"/>
  <c r="AO13" i="78" s="1"/>
  <c r="AO12" i="78"/>
  <c r="AO11" i="78"/>
  <c r="AO10" i="78"/>
  <c r="AN17" i="78"/>
  <c r="AM17" i="78"/>
  <c r="AL17" i="78"/>
  <c r="AK17" i="78"/>
  <c r="AJ17" i="78"/>
  <c r="AI17" i="78" s="1"/>
  <c r="AN8" i="78"/>
  <c r="AI8" i="78" s="1"/>
  <c r="AL9" i="78"/>
  <c r="AK9" i="78"/>
  <c r="AI9" i="78" s="1"/>
  <c r="AM7" i="78"/>
  <c r="AJ7" i="78"/>
  <c r="AI7" i="78" s="1"/>
  <c r="AI31" i="78"/>
  <c r="AI30" i="78"/>
  <c r="AI29" i="78"/>
  <c r="AI28" i="78"/>
  <c r="AI32" i="78" s="1"/>
  <c r="AI23" i="78"/>
  <c r="AI22" i="78"/>
  <c r="AI21" i="78"/>
  <c r="AI20" i="78"/>
  <c r="AI24" i="78" s="1"/>
  <c r="AI16" i="78"/>
  <c r="AI15" i="78"/>
  <c r="AI14" i="78"/>
  <c r="AI13" i="78" s="1"/>
  <c r="AI12" i="78"/>
  <c r="AI11" i="78"/>
  <c r="AI10" i="78"/>
  <c r="AH8" i="78"/>
  <c r="AC8" i="78" s="1"/>
  <c r="AH17" i="78"/>
  <c r="AG17" i="78"/>
  <c r="AF17" i="78"/>
  <c r="AE17" i="78"/>
  <c r="AD17" i="78"/>
  <c r="AC17" i="78" s="1"/>
  <c r="AF9" i="78"/>
  <c r="AE9" i="78"/>
  <c r="AC9" i="78" s="1"/>
  <c r="AG7" i="78"/>
  <c r="AD7" i="78"/>
  <c r="AC7" i="78" s="1"/>
  <c r="AC16" i="78"/>
  <c r="AC15" i="78"/>
  <c r="AC14" i="78"/>
  <c r="AC13" i="78" s="1"/>
  <c r="AC12" i="78"/>
  <c r="AC11" i="78"/>
  <c r="AC10" i="78"/>
  <c r="AC31" i="78"/>
  <c r="AC30" i="78"/>
  <c r="AC29" i="78"/>
  <c r="AC28" i="78"/>
  <c r="AC32" i="78" s="1"/>
  <c r="AC23" i="78"/>
  <c r="AC22" i="78"/>
  <c r="AC21" i="78"/>
  <c r="AC24" i="78" s="1"/>
  <c r="AB8" i="78"/>
  <c r="AB17" i="78"/>
  <c r="AA17" i="78"/>
  <c r="Z17" i="78"/>
  <c r="Y17" i="78"/>
  <c r="X17" i="78"/>
  <c r="W17" i="78" s="1"/>
  <c r="W31" i="78"/>
  <c r="W30" i="78"/>
  <c r="W29" i="78"/>
  <c r="W28" i="78"/>
  <c r="W32" i="78" s="1"/>
  <c r="W23" i="78"/>
  <c r="W22" i="78"/>
  <c r="W21" i="78"/>
  <c r="W24" i="78" s="1"/>
  <c r="W16" i="78"/>
  <c r="W15" i="78"/>
  <c r="W14" i="78"/>
  <c r="Z9" i="78"/>
  <c r="Y9" i="78"/>
  <c r="AA7" i="78"/>
  <c r="X7" i="78"/>
  <c r="W9" i="78"/>
  <c r="W8" i="78"/>
  <c r="W7" i="78"/>
  <c r="W12" i="78"/>
  <c r="W11" i="78"/>
  <c r="W10" i="78"/>
  <c r="V30" i="78"/>
  <c r="P30" i="78" s="1"/>
  <c r="V28" i="78"/>
  <c r="P28" i="78" s="1"/>
  <c r="P16" i="78"/>
  <c r="U17" i="78"/>
  <c r="T17" i="78"/>
  <c r="S17" i="78"/>
  <c r="R17" i="78"/>
  <c r="Q17" i="78"/>
  <c r="U8" i="78"/>
  <c r="P8" i="78" s="1"/>
  <c r="S9" i="78"/>
  <c r="R9" i="78"/>
  <c r="P9" i="78" s="1"/>
  <c r="T7" i="78"/>
  <c r="Q7" i="78"/>
  <c r="P7" i="78" s="1"/>
  <c r="P31" i="78"/>
  <c r="P29" i="78"/>
  <c r="P23" i="78"/>
  <c r="P22" i="78"/>
  <c r="P21" i="78"/>
  <c r="P24" i="78" s="1"/>
  <c r="P15" i="78"/>
  <c r="P14" i="78"/>
  <c r="P12" i="78"/>
  <c r="P11" i="78"/>
  <c r="P10" i="78"/>
  <c r="H30" i="78"/>
  <c r="B30" i="78" s="1"/>
  <c r="H28" i="78"/>
  <c r="B28" i="78" s="1"/>
  <c r="G17" i="78"/>
  <c r="F17" i="78"/>
  <c r="E17" i="78"/>
  <c r="D17" i="78"/>
  <c r="C17" i="78"/>
  <c r="G8" i="78"/>
  <c r="B8" i="78" s="1"/>
  <c r="E9" i="78"/>
  <c r="D9" i="78"/>
  <c r="F7" i="78"/>
  <c r="C7" i="78"/>
  <c r="B31" i="78"/>
  <c r="B29" i="78"/>
  <c r="B23" i="78"/>
  <c r="B22" i="78"/>
  <c r="B21" i="78"/>
  <c r="B24" i="78" s="1"/>
  <c r="B16" i="78"/>
  <c r="B15" i="78"/>
  <c r="B14" i="78"/>
  <c r="O30" i="78"/>
  <c r="I30" i="78" s="1"/>
  <c r="O28" i="78"/>
  <c r="I28" i="78" s="1"/>
  <c r="N17" i="78"/>
  <c r="M17" i="78"/>
  <c r="L17" i="78"/>
  <c r="K17" i="78"/>
  <c r="J17" i="78"/>
  <c r="L9" i="78"/>
  <c r="K9" i="78"/>
  <c r="N8" i="78"/>
  <c r="I8" i="78" s="1"/>
  <c r="M7" i="78"/>
  <c r="J7" i="78"/>
  <c r="I31" i="78"/>
  <c r="I29" i="78"/>
  <c r="I23" i="78"/>
  <c r="I22" i="78"/>
  <c r="I21" i="78"/>
  <c r="I24" i="78" s="1"/>
  <c r="I15" i="78"/>
  <c r="I16" i="78"/>
  <c r="I14" i="78"/>
  <c r="I12" i="78"/>
  <c r="I11" i="78"/>
  <c r="I10" i="78"/>
  <c r="I3" i="78"/>
  <c r="B12" i="78"/>
  <c r="B11" i="78"/>
  <c r="B10" i="78"/>
  <c r="B3" i="78"/>
  <c r="BZ32" i="78"/>
  <c r="BY32" i="78"/>
  <c r="BX32" i="78"/>
  <c r="BW32" i="78"/>
  <c r="BV32" i="78"/>
  <c r="BU32" i="78"/>
  <c r="BT32" i="78"/>
  <c r="BR32" i="78"/>
  <c r="BQ32" i="78"/>
  <c r="BP32" i="78"/>
  <c r="BO32" i="78"/>
  <c r="BN32" i="78"/>
  <c r="BM32" i="78"/>
  <c r="BL32" i="78"/>
  <c r="BJ32" i="78"/>
  <c r="BI32" i="78"/>
  <c r="BH32" i="78"/>
  <c r="BG32" i="78"/>
  <c r="BF32" i="78"/>
  <c r="BE32" i="78"/>
  <c r="BD32" i="78"/>
  <c r="BZ24" i="78"/>
  <c r="BY24" i="78"/>
  <c r="BX24" i="78"/>
  <c r="BW24" i="78"/>
  <c r="BV24" i="78"/>
  <c r="BU24" i="78"/>
  <c r="BT24" i="78"/>
  <c r="BR24" i="78"/>
  <c r="BQ24" i="78"/>
  <c r="BP24" i="78"/>
  <c r="BO24" i="78"/>
  <c r="BN24" i="78"/>
  <c r="BM24" i="78"/>
  <c r="BL24" i="78"/>
  <c r="BJ24" i="78"/>
  <c r="BI24" i="78"/>
  <c r="BH24" i="78"/>
  <c r="BG24" i="78"/>
  <c r="BF24" i="78"/>
  <c r="BE24" i="78"/>
  <c r="BD24" i="78"/>
  <c r="BZ13" i="78"/>
  <c r="BY13" i="78"/>
  <c r="BX13" i="78"/>
  <c r="BW13" i="78"/>
  <c r="BV13" i="78"/>
  <c r="BU13" i="78"/>
  <c r="BT13" i="78"/>
  <c r="BR13" i="78"/>
  <c r="BQ13" i="78"/>
  <c r="BP13" i="78"/>
  <c r="BO13" i="78"/>
  <c r="BN13" i="78"/>
  <c r="BM13" i="78"/>
  <c r="BL13" i="78"/>
  <c r="BJ13" i="78"/>
  <c r="BI13" i="78"/>
  <c r="BH13" i="78"/>
  <c r="BG13" i="78"/>
  <c r="BF13" i="78"/>
  <c r="BE13" i="78"/>
  <c r="BD13" i="78"/>
  <c r="BZ6" i="78"/>
  <c r="BZ18" i="78" s="1"/>
  <c r="BY6" i="78"/>
  <c r="BX6" i="78"/>
  <c r="BX18" i="78" s="1"/>
  <c r="BW6" i="78"/>
  <c r="BV6" i="78"/>
  <c r="BV18" i="78" s="1"/>
  <c r="BU6" i="78"/>
  <c r="BT6" i="78"/>
  <c r="BT18" i="78" s="1"/>
  <c r="BR6" i="78"/>
  <c r="BQ6" i="78"/>
  <c r="BQ18" i="78" s="1"/>
  <c r="BP6" i="78"/>
  <c r="BO6" i="78"/>
  <c r="BO18" i="78" s="1"/>
  <c r="BN6" i="78"/>
  <c r="BM6" i="78"/>
  <c r="BM18" i="78" s="1"/>
  <c r="BL6" i="78"/>
  <c r="BJ6" i="78"/>
  <c r="BJ18" i="78" s="1"/>
  <c r="BI6" i="78"/>
  <c r="BH6" i="78"/>
  <c r="BH18" i="78" s="1"/>
  <c r="BG6" i="78"/>
  <c r="BF6" i="78"/>
  <c r="BF18" i="78" s="1"/>
  <c r="BE6" i="78"/>
  <c r="BD6" i="78"/>
  <c r="BD18" i="78" s="1"/>
  <c r="AU19" i="77"/>
  <c r="AS19" i="77"/>
  <c r="AU15" i="77"/>
  <c r="AW11" i="77"/>
  <c r="AT10" i="77"/>
  <c r="AU6" i="77"/>
  <c r="AT6" i="77"/>
  <c r="AW5" i="77"/>
  <c r="AV4" i="77"/>
  <c r="AS4" i="77"/>
  <c r="AR4" i="77" s="1"/>
  <c r="AR32" i="77"/>
  <c r="AX24" i="77"/>
  <c r="AR24" i="77" s="1"/>
  <c r="AR33" i="77"/>
  <c r="AR29" i="77"/>
  <c r="AR27" i="77"/>
  <c r="AR26" i="77"/>
  <c r="AR25" i="77" s="1"/>
  <c r="AR23" i="77"/>
  <c r="AR22" i="77"/>
  <c r="AR21" i="77" s="1"/>
  <c r="AR19" i="77"/>
  <c r="AR18" i="77"/>
  <c r="AR17" i="77"/>
  <c r="AR16" i="77"/>
  <c r="AR15" i="77"/>
  <c r="AR14" i="77" s="1"/>
  <c r="AR12" i="77"/>
  <c r="AR11" i="77"/>
  <c r="AR10" i="77"/>
  <c r="AR8" i="77"/>
  <c r="AR7" i="77"/>
  <c r="AR5" i="77"/>
  <c r="AR6" i="77"/>
  <c r="AN19" i="77"/>
  <c r="AL19" i="77"/>
  <c r="AN15" i="77"/>
  <c r="AP11" i="77"/>
  <c r="AM10" i="77"/>
  <c r="AP5" i="77"/>
  <c r="AK5" i="77" s="1"/>
  <c r="AN6" i="77"/>
  <c r="AM6" i="77"/>
  <c r="AO4" i="77"/>
  <c r="AL4" i="77"/>
  <c r="AK32" i="77"/>
  <c r="AD32" i="77"/>
  <c r="W32" i="77"/>
  <c r="P32" i="77"/>
  <c r="I32" i="77"/>
  <c r="B32" i="77"/>
  <c r="AQ24" i="77"/>
  <c r="AK24" i="77" s="1"/>
  <c r="AK33" i="77"/>
  <c r="AK29" i="77"/>
  <c r="AK27" i="77"/>
  <c r="AK26" i="77"/>
  <c r="AK25" i="77" s="1"/>
  <c r="AK23" i="77"/>
  <c r="AK22" i="77"/>
  <c r="AK21" i="77" s="1"/>
  <c r="AK18" i="77"/>
  <c r="AK17" i="77"/>
  <c r="AK16" i="77"/>
  <c r="AK19" i="77"/>
  <c r="AK15" i="77"/>
  <c r="AK12" i="77"/>
  <c r="AK11" i="77"/>
  <c r="AK10" i="77"/>
  <c r="AK8" i="77"/>
  <c r="AK6" i="77"/>
  <c r="AK7" i="77"/>
  <c r="AK4" i="77"/>
  <c r="AG19" i="77"/>
  <c r="AE19" i="77"/>
  <c r="AG15" i="77"/>
  <c r="AI11" i="77"/>
  <c r="AF10" i="77"/>
  <c r="AD10" i="77" s="1"/>
  <c r="AG6" i="77"/>
  <c r="AF6" i="77"/>
  <c r="AI5" i="77"/>
  <c r="AH4" i="77"/>
  <c r="AE4" i="77"/>
  <c r="AJ24" i="77"/>
  <c r="AD24" i="77" s="1"/>
  <c r="AD33" i="77"/>
  <c r="AD29" i="77"/>
  <c r="AD27" i="77"/>
  <c r="AD26" i="77"/>
  <c r="AD25" i="77" s="1"/>
  <c r="AD23" i="77"/>
  <c r="AD22" i="77"/>
  <c r="AD19" i="77"/>
  <c r="AD18" i="77"/>
  <c r="AD17" i="77"/>
  <c r="AD16" i="77"/>
  <c r="AD15" i="77"/>
  <c r="AD12" i="77"/>
  <c r="AD11" i="77"/>
  <c r="AD8" i="77"/>
  <c r="AD5" i="77"/>
  <c r="AD7" i="77"/>
  <c r="AD4" i="77"/>
  <c r="Z19" i="77"/>
  <c r="X19" i="77"/>
  <c r="Z15" i="77"/>
  <c r="AB11" i="77"/>
  <c r="W11" i="77" s="1"/>
  <c r="Y10" i="77"/>
  <c r="AB5" i="77"/>
  <c r="W5" i="77" s="1"/>
  <c r="Z6" i="77"/>
  <c r="Y6" i="77"/>
  <c r="W6" i="77" s="1"/>
  <c r="AA4" i="77"/>
  <c r="X4" i="77"/>
  <c r="AC24" i="77"/>
  <c r="W24" i="77" s="1"/>
  <c r="W33" i="77"/>
  <c r="W29" i="77"/>
  <c r="W27" i="77"/>
  <c r="W26" i="77"/>
  <c r="W25" i="77" s="1"/>
  <c r="W23" i="77"/>
  <c r="W22" i="77"/>
  <c r="W19" i="77"/>
  <c r="W18" i="77"/>
  <c r="W17" i="77"/>
  <c r="W16" i="77"/>
  <c r="W15" i="77"/>
  <c r="W12" i="77"/>
  <c r="U11" i="77"/>
  <c r="P11" i="77" s="1"/>
  <c r="W10" i="77"/>
  <c r="W7" i="77"/>
  <c r="W8" i="77"/>
  <c r="P33" i="77"/>
  <c r="P29" i="77"/>
  <c r="V24" i="77"/>
  <c r="P24" i="77" s="1"/>
  <c r="S19" i="77"/>
  <c r="Q19" i="77"/>
  <c r="P19" i="77" s="1"/>
  <c r="S15" i="77"/>
  <c r="R10" i="77"/>
  <c r="P10" i="77" s="1"/>
  <c r="P27" i="77"/>
  <c r="P26" i="77"/>
  <c r="P25" i="77" s="1"/>
  <c r="P23" i="77"/>
  <c r="P22" i="77"/>
  <c r="P18" i="77"/>
  <c r="P17" i="77"/>
  <c r="P16" i="77"/>
  <c r="P15" i="77"/>
  <c r="P12" i="77"/>
  <c r="U5" i="77"/>
  <c r="P5" i="77" s="1"/>
  <c r="T4" i="77"/>
  <c r="S6" i="77"/>
  <c r="R6" i="77"/>
  <c r="Q4" i="77"/>
  <c r="P7" i="77"/>
  <c r="P8" i="77"/>
  <c r="J4" i="77"/>
  <c r="I33" i="77"/>
  <c r="I29" i="77"/>
  <c r="B29" i="77"/>
  <c r="I27" i="77"/>
  <c r="I26" i="77"/>
  <c r="O24" i="77"/>
  <c r="I24" i="77" s="1"/>
  <c r="I23" i="77"/>
  <c r="I22" i="77"/>
  <c r="L19" i="77"/>
  <c r="J19" i="77"/>
  <c r="L15" i="77"/>
  <c r="I15" i="77" s="1"/>
  <c r="I18" i="77"/>
  <c r="I17" i="77"/>
  <c r="I16" i="77"/>
  <c r="N11" i="77"/>
  <c r="I11" i="77" s="1"/>
  <c r="K10" i="77"/>
  <c r="I10" i="77" s="1"/>
  <c r="I12" i="77"/>
  <c r="L6" i="77"/>
  <c r="K6" i="77"/>
  <c r="I6" i="77" s="1"/>
  <c r="I8" i="77"/>
  <c r="I7" i="77"/>
  <c r="M4" i="77"/>
  <c r="I4" i="77" s="1"/>
  <c r="N5" i="77"/>
  <c r="I5" i="77" s="1"/>
  <c r="H24" i="77"/>
  <c r="B24" i="77" s="1"/>
  <c r="B33" i="77"/>
  <c r="B27" i="77"/>
  <c r="B26" i="77"/>
  <c r="B25" i="77" s="1"/>
  <c r="B23" i="77"/>
  <c r="B22" i="77"/>
  <c r="F19" i="77"/>
  <c r="C19" i="77"/>
  <c r="B18" i="77"/>
  <c r="B17" i="77"/>
  <c r="B16" i="77"/>
  <c r="E15" i="77"/>
  <c r="B15" i="77" s="1"/>
  <c r="B12" i="77"/>
  <c r="G11" i="77"/>
  <c r="B11" i="77" s="1"/>
  <c r="D10" i="77"/>
  <c r="B10" i="77" s="1"/>
  <c r="B8" i="77"/>
  <c r="B7" i="77"/>
  <c r="E6" i="77"/>
  <c r="D6" i="77"/>
  <c r="G5" i="77"/>
  <c r="B5" i="77" s="1"/>
  <c r="F4" i="77"/>
  <c r="C4" i="77"/>
  <c r="I25" i="77" l="1"/>
  <c r="AD6" i="77"/>
  <c r="I32" i="78"/>
  <c r="B32" i="78"/>
  <c r="P32" i="78"/>
  <c r="W6" i="78"/>
  <c r="W13" i="78"/>
  <c r="AC6" i="78"/>
  <c r="AC18" i="78" s="1"/>
  <c r="AC33" i="78" s="1"/>
  <c r="AI6" i="78"/>
  <c r="AI18" i="78" s="1"/>
  <c r="AI33" i="78" s="1"/>
  <c r="AO6" i="78"/>
  <c r="AO18" i="78" s="1"/>
  <c r="AO33" i="78" s="1"/>
  <c r="I21" i="77"/>
  <c r="P6" i="77"/>
  <c r="I19" i="77"/>
  <c r="D71" i="79"/>
  <c r="E20" i="79"/>
  <c r="B20" i="79" s="1"/>
  <c r="Z20" i="79"/>
  <c r="W20" i="79" s="1"/>
  <c r="F71" i="79"/>
  <c r="AN20" i="79"/>
  <c r="AK20" i="79" s="1"/>
  <c r="L20" i="79"/>
  <c r="I20" i="79" s="1"/>
  <c r="B71" i="79"/>
  <c r="B28" i="79"/>
  <c r="B27" i="79" s="1"/>
  <c r="B26" i="79" s="1"/>
  <c r="AG20" i="79"/>
  <c r="AD20" i="79" s="1"/>
  <c r="E71" i="79"/>
  <c r="D23" i="79"/>
  <c r="B23" i="79" s="1"/>
  <c r="B10" i="79"/>
  <c r="O10" i="79"/>
  <c r="Y23" i="79"/>
  <c r="W23" i="79" s="1"/>
  <c r="AF23" i="79"/>
  <c r="AD23" i="79" s="1"/>
  <c r="BB26" i="79"/>
  <c r="P26" i="79" s="1"/>
  <c r="P27" i="79"/>
  <c r="BF26" i="79"/>
  <c r="AR26" i="79" s="1"/>
  <c r="AR27" i="79"/>
  <c r="AU20" i="79"/>
  <c r="AR20" i="79" s="1"/>
  <c r="S20" i="79"/>
  <c r="P20" i="79" s="1"/>
  <c r="AM23" i="79"/>
  <c r="AK23" i="79" s="1"/>
  <c r="K23" i="79"/>
  <c r="I23" i="79" s="1"/>
  <c r="BC26" i="79"/>
  <c r="W26" i="79" s="1"/>
  <c r="W27" i="79"/>
  <c r="B96" i="79"/>
  <c r="I26" i="79"/>
  <c r="BA26" i="79"/>
  <c r="BA17" i="79" s="1"/>
  <c r="BE26" i="79"/>
  <c r="AK26" i="79" s="1"/>
  <c r="AK27" i="79"/>
  <c r="AT23" i="79"/>
  <c r="AR23" i="79" s="1"/>
  <c r="R23" i="79"/>
  <c r="P23" i="79" s="1"/>
  <c r="G71" i="79"/>
  <c r="C71" i="79"/>
  <c r="B9" i="79"/>
  <c r="O9" i="79"/>
  <c r="AZ26" i="79"/>
  <c r="AZ17" i="79" s="1"/>
  <c r="BD26" i="79"/>
  <c r="AD26" i="79" s="1"/>
  <c r="H86" i="79"/>
  <c r="H93" i="79" s="1"/>
  <c r="D86" i="79"/>
  <c r="D93" i="79" s="1"/>
  <c r="G86" i="79"/>
  <c r="G93" i="79" s="1"/>
  <c r="C86" i="79"/>
  <c r="C93" i="79" s="1"/>
  <c r="F86" i="79"/>
  <c r="F93" i="79" s="1"/>
  <c r="B86" i="79"/>
  <c r="B93" i="79" s="1"/>
  <c r="E86" i="79"/>
  <c r="E93" i="79" s="1"/>
  <c r="H61" i="79"/>
  <c r="H76" i="79" s="1"/>
  <c r="H78" i="79" s="1"/>
  <c r="D61" i="79"/>
  <c r="D76" i="79" s="1"/>
  <c r="D78" i="79" s="1"/>
  <c r="F66" i="79"/>
  <c r="F80" i="79" s="1"/>
  <c r="F82" i="79" s="1"/>
  <c r="B61" i="79"/>
  <c r="B76" i="79" s="1"/>
  <c r="B78" i="79" s="1"/>
  <c r="E61" i="79"/>
  <c r="E76" i="79" s="1"/>
  <c r="E78" i="79" s="1"/>
  <c r="G66" i="79"/>
  <c r="G80" i="79" s="1"/>
  <c r="G82" i="79" s="1"/>
  <c r="C66" i="79"/>
  <c r="C80" i="79" s="1"/>
  <c r="C82" i="79" s="1"/>
  <c r="F61" i="79"/>
  <c r="F76" i="79" s="1"/>
  <c r="F78" i="79" s="1"/>
  <c r="C61" i="79"/>
  <c r="C76" i="79" s="1"/>
  <c r="C78" i="79" s="1"/>
  <c r="B66" i="79"/>
  <c r="B80" i="79" s="1"/>
  <c r="B82" i="79" s="1"/>
  <c r="E66" i="79"/>
  <c r="E80" i="79" s="1"/>
  <c r="E82" i="79" s="1"/>
  <c r="E83" i="79" s="1"/>
  <c r="X25" i="79" s="1"/>
  <c r="W25" i="79" s="1"/>
  <c r="G61" i="79"/>
  <c r="G76" i="79" s="1"/>
  <c r="G78" i="79" s="1"/>
  <c r="H66" i="79"/>
  <c r="H80" i="79" s="1"/>
  <c r="H82" i="79" s="1"/>
  <c r="H83" i="79" s="1"/>
  <c r="AS25" i="79" s="1"/>
  <c r="AR25" i="79" s="1"/>
  <c r="D66" i="79"/>
  <c r="D80" i="79" s="1"/>
  <c r="D82" i="79" s="1"/>
  <c r="D83" i="79" s="1"/>
  <c r="Q25" i="79" s="1"/>
  <c r="P25" i="79" s="1"/>
  <c r="G56" i="79"/>
  <c r="G72" i="79" s="1"/>
  <c r="H44" i="79"/>
  <c r="D44" i="79"/>
  <c r="F56" i="79"/>
  <c r="F72" i="79" s="1"/>
  <c r="D56" i="79"/>
  <c r="D72" i="79" s="1"/>
  <c r="C56" i="79"/>
  <c r="C72" i="79" s="1"/>
  <c r="H56" i="79"/>
  <c r="H72" i="79" s="1"/>
  <c r="H73" i="79" s="1"/>
  <c r="H99" i="79" s="1"/>
  <c r="AW11" i="79" s="1"/>
  <c r="B48" i="79"/>
  <c r="B62" i="79" s="1"/>
  <c r="E48" i="79"/>
  <c r="E62" i="79" s="1"/>
  <c r="E63" i="79" s="1"/>
  <c r="G52" i="79"/>
  <c r="G67" i="79" s="1"/>
  <c r="C52" i="79"/>
  <c r="C67" i="79" s="1"/>
  <c r="B44" i="79"/>
  <c r="E44" i="79"/>
  <c r="F44" i="79"/>
  <c r="B56" i="79"/>
  <c r="B72" i="79" s="1"/>
  <c r="E56" i="79"/>
  <c r="E72" i="79" s="1"/>
  <c r="G44" i="79"/>
  <c r="C44" i="79"/>
  <c r="G48" i="79"/>
  <c r="G62" i="79" s="1"/>
  <c r="C48" i="79"/>
  <c r="C62" i="79" s="1"/>
  <c r="B52" i="79"/>
  <c r="B67" i="79" s="1"/>
  <c r="E52" i="79"/>
  <c r="E67" i="79" s="1"/>
  <c r="BC3" i="79"/>
  <c r="F52" i="79"/>
  <c r="F67" i="79" s="1"/>
  <c r="H52" i="79"/>
  <c r="H67" i="79" s="1"/>
  <c r="D52" i="79"/>
  <c r="D67" i="79" s="1"/>
  <c r="F48" i="79"/>
  <c r="F62" i="79" s="1"/>
  <c r="H48" i="79"/>
  <c r="H62" i="79" s="1"/>
  <c r="D48" i="79"/>
  <c r="D62" i="79" s="1"/>
  <c r="AZ3" i="79"/>
  <c r="BD3" i="79"/>
  <c r="BE3" i="79"/>
  <c r="BA3" i="79"/>
  <c r="BB3" i="79"/>
  <c r="BF3" i="79"/>
  <c r="BD17" i="79"/>
  <c r="I7" i="78"/>
  <c r="I9" i="78"/>
  <c r="B9" i="78"/>
  <c r="P17" i="78"/>
  <c r="P13" i="78" s="1"/>
  <c r="B7" i="78"/>
  <c r="B6" i="78" s="1"/>
  <c r="B17" i="78"/>
  <c r="B13" i="78" s="1"/>
  <c r="P6" i="78"/>
  <c r="P18" i="78" s="1"/>
  <c r="P33" i="78" s="1"/>
  <c r="BF33" i="78"/>
  <c r="BJ33" i="78"/>
  <c r="BO33" i="78"/>
  <c r="BT33" i="78"/>
  <c r="BT35" i="78" s="1"/>
  <c r="BX33" i="78"/>
  <c r="I17" i="78"/>
  <c r="I13" i="78" s="1"/>
  <c r="BG18" i="78"/>
  <c r="BG33" i="78" s="1"/>
  <c r="BL18" i="78"/>
  <c r="BP18" i="78"/>
  <c r="BP33" i="78" s="1"/>
  <c r="BU18" i="78"/>
  <c r="BU33" i="78" s="1"/>
  <c r="BU35" i="78" s="1"/>
  <c r="BV3" i="78" s="1"/>
  <c r="BY18" i="78"/>
  <c r="BY33" i="78" s="1"/>
  <c r="BD33" i="78"/>
  <c r="BH33" i="78"/>
  <c r="BM33" i="78"/>
  <c r="BM35" i="78" s="1"/>
  <c r="BN3" i="78" s="1"/>
  <c r="BQ33" i="78"/>
  <c r="BV33" i="78"/>
  <c r="BZ33" i="78"/>
  <c r="I6" i="78"/>
  <c r="I18" i="78" s="1"/>
  <c r="I33" i="78" s="1"/>
  <c r="I35" i="78" s="1"/>
  <c r="BE18" i="78"/>
  <c r="BI18" i="78"/>
  <c r="BI33" i="78" s="1"/>
  <c r="BN18" i="78"/>
  <c r="BN33" i="78" s="1"/>
  <c r="BR18" i="78"/>
  <c r="BR33" i="78" s="1"/>
  <c r="BW18" i="78"/>
  <c r="BW33" i="78" s="1"/>
  <c r="AR9" i="77"/>
  <c r="AR3" i="77"/>
  <c r="AR13" i="77" s="1"/>
  <c r="AR20" i="77" s="1"/>
  <c r="AR28" i="77" s="1"/>
  <c r="AR30" i="77" s="1"/>
  <c r="AR34" i="77" s="1"/>
  <c r="AK14" i="77"/>
  <c r="AK9" i="77"/>
  <c r="AK3" i="77"/>
  <c r="I9" i="77"/>
  <c r="P14" i="77"/>
  <c r="P21" i="77"/>
  <c r="W21" i="77"/>
  <c r="W4" i="77"/>
  <c r="W3" i="77" s="1"/>
  <c r="I14" i="77"/>
  <c r="AD21" i="77"/>
  <c r="I3" i="77"/>
  <c r="B9" i="77"/>
  <c r="AD14" i="77"/>
  <c r="AD9" i="77"/>
  <c r="AD3" i="77"/>
  <c r="W14" i="77"/>
  <c r="W9" i="77"/>
  <c r="P9" i="77"/>
  <c r="P4" i="77"/>
  <c r="P3" i="77" s="1"/>
  <c r="B21" i="77"/>
  <c r="B19" i="77"/>
  <c r="B14" i="77" s="1"/>
  <c r="B4" i="77"/>
  <c r="B6" i="77"/>
  <c r="W13" i="77" l="1"/>
  <c r="B18" i="78"/>
  <c r="B33" i="78" s="1"/>
  <c r="B35" i="78" s="1"/>
  <c r="W18" i="78"/>
  <c r="W33" i="78" s="1"/>
  <c r="I13" i="77"/>
  <c r="AK13" i="77"/>
  <c r="AK20" i="77" s="1"/>
  <c r="AK28" i="77" s="1"/>
  <c r="AK30" i="77" s="1"/>
  <c r="AK34" i="77" s="1"/>
  <c r="H11" i="79"/>
  <c r="O11" i="79" s="1"/>
  <c r="V11" i="79" s="1"/>
  <c r="AC11" i="79" s="1"/>
  <c r="BF17" i="79"/>
  <c r="BE17" i="79"/>
  <c r="BB17" i="79"/>
  <c r="BC17" i="79"/>
  <c r="V9" i="79"/>
  <c r="I9" i="79"/>
  <c r="V10" i="79"/>
  <c r="I10" i="79"/>
  <c r="D63" i="79"/>
  <c r="D73" i="79"/>
  <c r="D99" i="79" s="1"/>
  <c r="U11" i="79" s="1"/>
  <c r="P11" i="79" s="1"/>
  <c r="B63" i="79"/>
  <c r="B83" i="79"/>
  <c r="C25" i="79" s="1"/>
  <c r="B25" i="79" s="1"/>
  <c r="G73" i="79"/>
  <c r="G99" i="79" s="1"/>
  <c r="AP11" i="79" s="1"/>
  <c r="H63" i="79"/>
  <c r="F73" i="79"/>
  <c r="F99" i="79" s="1"/>
  <c r="AI11" i="79" s="1"/>
  <c r="F83" i="79"/>
  <c r="AE25" i="79" s="1"/>
  <c r="AD25" i="79" s="1"/>
  <c r="C73" i="79"/>
  <c r="C99" i="79" s="1"/>
  <c r="N11" i="79" s="1"/>
  <c r="I11" i="79" s="1"/>
  <c r="F68" i="79"/>
  <c r="C63" i="79"/>
  <c r="D68" i="79"/>
  <c r="G83" i="79"/>
  <c r="AL25" i="79" s="1"/>
  <c r="AK25" i="79" s="1"/>
  <c r="H68" i="79"/>
  <c r="E68" i="79"/>
  <c r="Y22" i="79" s="1"/>
  <c r="W22" i="79" s="1"/>
  <c r="W19" i="79" s="1"/>
  <c r="W18" i="79" s="1"/>
  <c r="W17" i="79" s="1"/>
  <c r="C68" i="79"/>
  <c r="G68" i="79"/>
  <c r="C83" i="79"/>
  <c r="J25" i="79" s="1"/>
  <c r="I25" i="79" s="1"/>
  <c r="F63" i="79"/>
  <c r="G63" i="79"/>
  <c r="E73" i="79"/>
  <c r="E99" i="79" s="1"/>
  <c r="AB11" i="79" s="1"/>
  <c r="B73" i="79"/>
  <c r="B99" i="79" s="1"/>
  <c r="G11" i="79" s="1"/>
  <c r="B11" i="79" s="1"/>
  <c r="B8" i="79" s="1"/>
  <c r="B4" i="79" s="1"/>
  <c r="B3" i="79" s="1"/>
  <c r="B68" i="79"/>
  <c r="D22" i="79" s="1"/>
  <c r="B22" i="79" s="1"/>
  <c r="BV35" i="78"/>
  <c r="BW3" i="78" s="1"/>
  <c r="BL33" i="78"/>
  <c r="BL35" i="78" s="1"/>
  <c r="BW35" i="78"/>
  <c r="BX3" i="78" s="1"/>
  <c r="BX35" i="78" s="1"/>
  <c r="BY3" i="78" s="1"/>
  <c r="BY35" i="78" s="1"/>
  <c r="BZ3" i="78" s="1"/>
  <c r="BZ35" i="78" s="1"/>
  <c r="BD35" i="78"/>
  <c r="BE33" i="78"/>
  <c r="BN35" i="78"/>
  <c r="BO3" i="78" s="1"/>
  <c r="BO35" i="78" s="1"/>
  <c r="BP3" i="78" s="1"/>
  <c r="BP35" i="78" s="1"/>
  <c r="BQ3" i="78" s="1"/>
  <c r="BQ35" i="78" s="1"/>
  <c r="BR3" i="78" s="1"/>
  <c r="BR35" i="78" s="1"/>
  <c r="AR31" i="77"/>
  <c r="AK31" i="77"/>
  <c r="P13" i="77"/>
  <c r="P20" i="77" s="1"/>
  <c r="P28" i="77" s="1"/>
  <c r="P30" i="77" s="1"/>
  <c r="P34" i="77" s="1"/>
  <c r="AD13" i="77"/>
  <c r="AD20" i="77" s="1"/>
  <c r="AD28" i="77" s="1"/>
  <c r="AD30" i="77" s="1"/>
  <c r="I20" i="77"/>
  <c r="I28" i="77" s="1"/>
  <c r="I30" i="77" s="1"/>
  <c r="W20" i="77"/>
  <c r="W28" i="77" s="1"/>
  <c r="W30" i="77" s="1"/>
  <c r="B3" i="77"/>
  <c r="B13" i="77" s="1"/>
  <c r="B20" i="77" s="1"/>
  <c r="B28" i="77" s="1"/>
  <c r="B30" i="77" s="1"/>
  <c r="AD31" i="77" l="1"/>
  <c r="B34" i="77"/>
  <c r="B31" i="77"/>
  <c r="W34" i="77"/>
  <c r="W31" i="77"/>
  <c r="P31" i="77"/>
  <c r="I34" i="77"/>
  <c r="I31" i="77"/>
  <c r="AM22" i="79"/>
  <c r="AK22" i="79" s="1"/>
  <c r="AK19" i="79" s="1"/>
  <c r="AK18" i="79" s="1"/>
  <c r="AK17" i="79" s="1"/>
  <c r="K22" i="79"/>
  <c r="I22" i="79" s="1"/>
  <c r="I19" i="79" s="1"/>
  <c r="I18" i="79" s="1"/>
  <c r="I17" i="79" s="1"/>
  <c r="AT22" i="79"/>
  <c r="AR22" i="79" s="1"/>
  <c r="AR19" i="79" s="1"/>
  <c r="AR18" i="79" s="1"/>
  <c r="AR17" i="79" s="1"/>
  <c r="R22" i="79"/>
  <c r="P22" i="79" s="1"/>
  <c r="P19" i="79" s="1"/>
  <c r="P18" i="79" s="1"/>
  <c r="P17" i="79" s="1"/>
  <c r="B19" i="79"/>
  <c r="B18" i="79" s="1"/>
  <c r="B17" i="79" s="1"/>
  <c r="AF22" i="79"/>
  <c r="AD22" i="79" s="1"/>
  <c r="AD19" i="79" s="1"/>
  <c r="AD18" i="79" s="1"/>
  <c r="AD17" i="79" s="1"/>
  <c r="P10" i="79"/>
  <c r="AC10" i="79"/>
  <c r="I8" i="79"/>
  <c r="I4" i="79" s="1"/>
  <c r="I3" i="79" s="1"/>
  <c r="AC9" i="79"/>
  <c r="P9" i="79"/>
  <c r="AJ11" i="79"/>
  <c r="W11" i="79"/>
  <c r="BE35" i="78"/>
  <c r="AQ11" i="79" l="1"/>
  <c r="AD11" i="79"/>
  <c r="AJ10" i="79"/>
  <c r="W10" i="79"/>
  <c r="W9" i="79"/>
  <c r="AJ9" i="79"/>
  <c r="P8" i="79"/>
  <c r="P4" i="79" s="1"/>
  <c r="P3" i="79" s="1"/>
  <c r="BF3" i="78"/>
  <c r="W8" i="79" l="1"/>
  <c r="W4" i="79" s="1"/>
  <c r="W3" i="79" s="1"/>
  <c r="AX11" i="79"/>
  <c r="AR11" i="79" s="1"/>
  <c r="AK11" i="79"/>
  <c r="AD10" i="79"/>
  <c r="AQ10" i="79"/>
  <c r="AQ9" i="79"/>
  <c r="AD9" i="79"/>
  <c r="P3" i="78"/>
  <c r="P35" i="78" s="1"/>
  <c r="BF35" i="78"/>
  <c r="AD8" i="79" l="1"/>
  <c r="AD4" i="79" s="1"/>
  <c r="AD3" i="79" s="1"/>
  <c r="AX10" i="79"/>
  <c r="AR10" i="79" s="1"/>
  <c r="AK10" i="79"/>
  <c r="AK9" i="79"/>
  <c r="AX9" i="79"/>
  <c r="AR9" i="79" s="1"/>
  <c r="BG3" i="78"/>
  <c r="BG35" i="78" l="1"/>
  <c r="BH3" i="78" s="1"/>
  <c r="W3" i="78"/>
  <c r="W35" i="78" s="1"/>
  <c r="AR8" i="79"/>
  <c r="AR4" i="79" s="1"/>
  <c r="AR3" i="79" s="1"/>
  <c r="AK8" i="79"/>
  <c r="AK4" i="79" s="1"/>
  <c r="AK3" i="79" s="1"/>
  <c r="I93" i="73"/>
  <c r="I103" i="73"/>
  <c r="H93" i="73"/>
  <c r="H103" i="73"/>
  <c r="G103" i="73"/>
  <c r="G95" i="73"/>
  <c r="H95" i="73" s="1"/>
  <c r="I95" i="73" s="1"/>
  <c r="G93" i="73"/>
  <c r="F103" i="73"/>
  <c r="F93" i="73"/>
  <c r="E103" i="73"/>
  <c r="E102" i="73"/>
  <c r="E100" i="73"/>
  <c r="E94" i="73"/>
  <c r="F94" i="73" s="1"/>
  <c r="G94" i="73" s="1"/>
  <c r="H94" i="73" s="1"/>
  <c r="I94" i="73" s="1"/>
  <c r="I96" i="73" s="1"/>
  <c r="E93" i="73"/>
  <c r="BH35" i="78" l="1"/>
  <c r="BI3" i="78" s="1"/>
  <c r="AC3" i="78"/>
  <c r="AC35" i="78" s="1"/>
  <c r="F96" i="73"/>
  <c r="H96" i="73"/>
  <c r="G96" i="73"/>
  <c r="E69" i="73"/>
  <c r="F69" i="73" s="1"/>
  <c r="G69" i="73" s="1"/>
  <c r="H69" i="73" s="1"/>
  <c r="I69" i="73" s="1"/>
  <c r="E64" i="73"/>
  <c r="E95" i="73" s="1"/>
  <c r="E96" i="73" s="1"/>
  <c r="E65" i="73"/>
  <c r="F65" i="73" s="1"/>
  <c r="E62" i="73"/>
  <c r="E84" i="73" s="1"/>
  <c r="F56" i="73"/>
  <c r="F87" i="73" s="1"/>
  <c r="G56" i="73"/>
  <c r="G87" i="73" s="1"/>
  <c r="H56" i="73"/>
  <c r="H87" i="73" s="1"/>
  <c r="I56" i="73"/>
  <c r="I87" i="73" s="1"/>
  <c r="E56" i="73"/>
  <c r="E87" i="73" s="1"/>
  <c r="E57" i="73"/>
  <c r="F57" i="73" s="1"/>
  <c r="G57" i="73" s="1"/>
  <c r="H57" i="73" s="1"/>
  <c r="I57" i="73" s="1"/>
  <c r="E58" i="73"/>
  <c r="F58" i="73" s="1"/>
  <c r="G58" i="73" s="1"/>
  <c r="H58" i="73" s="1"/>
  <c r="I58" i="73" s="1"/>
  <c r="J58" i="73" s="1"/>
  <c r="E55" i="73"/>
  <c r="E101" i="73" s="1"/>
  <c r="E104" i="73" s="1"/>
  <c r="E54" i="73"/>
  <c r="E51" i="73"/>
  <c r="F51" i="73" s="1"/>
  <c r="G51" i="73" s="1"/>
  <c r="H51" i="73" s="1"/>
  <c r="I51" i="73" s="1"/>
  <c r="E50" i="73"/>
  <c r="E49" i="73"/>
  <c r="F49" i="73" s="1"/>
  <c r="BI35" i="78" l="1"/>
  <c r="BJ3" i="78" s="1"/>
  <c r="AI3" i="78"/>
  <c r="AI35" i="78" s="1"/>
  <c r="E89" i="73"/>
  <c r="E86" i="73"/>
  <c r="G65" i="73"/>
  <c r="F63" i="73"/>
  <c r="E53" i="73"/>
  <c r="E60" i="73"/>
  <c r="G49" i="73"/>
  <c r="F54" i="73"/>
  <c r="E63" i="73"/>
  <c r="E48" i="73"/>
  <c r="F50" i="73"/>
  <c r="F55" i="73"/>
  <c r="F62" i="73"/>
  <c r="AG139" i="73"/>
  <c r="AF139" i="73"/>
  <c r="AE139" i="73"/>
  <c r="AD139" i="73"/>
  <c r="AC139" i="73"/>
  <c r="AB139" i="73"/>
  <c r="AA139" i="73"/>
  <c r="Y139" i="73"/>
  <c r="X139" i="73"/>
  <c r="W139" i="73"/>
  <c r="V139" i="73"/>
  <c r="U139" i="73"/>
  <c r="T139" i="73"/>
  <c r="S139" i="73"/>
  <c r="Q139" i="73"/>
  <c r="P139" i="73"/>
  <c r="O139" i="73"/>
  <c r="N139" i="73"/>
  <c r="M139" i="73"/>
  <c r="L139" i="73"/>
  <c r="K139" i="73"/>
  <c r="I139" i="73"/>
  <c r="H13" i="81" s="1"/>
  <c r="H139" i="73"/>
  <c r="G13" i="81" s="1"/>
  <c r="G139" i="73"/>
  <c r="F13" i="81" s="1"/>
  <c r="F139" i="73"/>
  <c r="E13" i="81" s="1"/>
  <c r="E139" i="73"/>
  <c r="D13" i="81" s="1"/>
  <c r="D139" i="73"/>
  <c r="C13" i="81" s="1"/>
  <c r="AG136" i="73"/>
  <c r="AF136" i="73"/>
  <c r="AE136" i="73"/>
  <c r="AD136" i="73"/>
  <c r="AC136" i="73"/>
  <c r="AB136" i="73"/>
  <c r="AA136" i="73"/>
  <c r="AA135" i="73" s="1"/>
  <c r="Y136" i="73"/>
  <c r="X136" i="73"/>
  <c r="W136" i="73"/>
  <c r="V136" i="73"/>
  <c r="U136" i="73"/>
  <c r="T136" i="73"/>
  <c r="S136" i="73"/>
  <c r="Q136" i="73"/>
  <c r="Q135" i="73" s="1"/>
  <c r="P136" i="73"/>
  <c r="O136" i="73"/>
  <c r="N136" i="73"/>
  <c r="M136" i="73"/>
  <c r="L136" i="73"/>
  <c r="K136" i="73"/>
  <c r="K135" i="73" s="1"/>
  <c r="I136" i="73"/>
  <c r="H136" i="73"/>
  <c r="G136" i="73"/>
  <c r="F136" i="73"/>
  <c r="E136" i="73"/>
  <c r="D136" i="73"/>
  <c r="C136" i="73"/>
  <c r="AG132" i="73"/>
  <c r="AF132" i="73"/>
  <c r="AE132" i="73"/>
  <c r="AD132" i="73"/>
  <c r="AD129" i="73" s="1"/>
  <c r="AC132" i="73"/>
  <c r="AB132" i="73"/>
  <c r="AB129" i="73" s="1"/>
  <c r="AA132" i="73"/>
  <c r="AA129" i="73" s="1"/>
  <c r="Y132" i="73"/>
  <c r="Y129" i="73" s="1"/>
  <c r="X132" i="73"/>
  <c r="X129" i="73" s="1"/>
  <c r="W132" i="73"/>
  <c r="W129" i="73" s="1"/>
  <c r="V132" i="73"/>
  <c r="U132" i="73"/>
  <c r="T132" i="73"/>
  <c r="T129" i="73" s="1"/>
  <c r="S132" i="73"/>
  <c r="Q132" i="73"/>
  <c r="P132" i="73"/>
  <c r="O132" i="73"/>
  <c r="N132" i="73"/>
  <c r="M132" i="73"/>
  <c r="L132" i="73"/>
  <c r="L129" i="73" s="1"/>
  <c r="K132" i="73"/>
  <c r="K129" i="73" s="1"/>
  <c r="I132" i="73"/>
  <c r="H132" i="73"/>
  <c r="G132" i="73"/>
  <c r="F132" i="73"/>
  <c r="E132" i="73"/>
  <c r="E129" i="73" s="1"/>
  <c r="D132" i="73"/>
  <c r="D129" i="73" s="1"/>
  <c r="C132" i="73"/>
  <c r="C129" i="73" s="1"/>
  <c r="AG129" i="73"/>
  <c r="AG114" i="73"/>
  <c r="AF114" i="73"/>
  <c r="AE114" i="73"/>
  <c r="AD114" i="73"/>
  <c r="AC114" i="73"/>
  <c r="AB114" i="73"/>
  <c r="AA114" i="73"/>
  <c r="Y114" i="73"/>
  <c r="X114" i="73"/>
  <c r="W114" i="73"/>
  <c r="V114" i="73"/>
  <c r="U114" i="73"/>
  <c r="T114" i="73"/>
  <c r="S114" i="73"/>
  <c r="Q114" i="73"/>
  <c r="P114" i="73"/>
  <c r="O114" i="73"/>
  <c r="N114" i="73"/>
  <c r="M114" i="73"/>
  <c r="L114" i="73"/>
  <c r="K114" i="73"/>
  <c r="I114" i="73"/>
  <c r="H114" i="73"/>
  <c r="G114" i="73"/>
  <c r="F114" i="73"/>
  <c r="E114" i="73"/>
  <c r="D114" i="73"/>
  <c r="C114" i="73"/>
  <c r="AG104" i="73"/>
  <c r="AF104" i="73"/>
  <c r="C104" i="73"/>
  <c r="AA104" i="73"/>
  <c r="Y104" i="73"/>
  <c r="X104" i="73"/>
  <c r="W104" i="73"/>
  <c r="V104" i="73"/>
  <c r="U104" i="73"/>
  <c r="T104" i="73"/>
  <c r="K104" i="73"/>
  <c r="AG96" i="73"/>
  <c r="AF96" i="73"/>
  <c r="AE96" i="73"/>
  <c r="AD96" i="73"/>
  <c r="AC96" i="73"/>
  <c r="AB96" i="73"/>
  <c r="AA96" i="73"/>
  <c r="Y96" i="73"/>
  <c r="X96" i="73"/>
  <c r="W96" i="73"/>
  <c r="V96" i="73"/>
  <c r="U96" i="73"/>
  <c r="T96" i="73"/>
  <c r="S96" i="73"/>
  <c r="Q96" i="73"/>
  <c r="P96" i="73"/>
  <c r="O96" i="73"/>
  <c r="N96" i="73"/>
  <c r="M96" i="73"/>
  <c r="L96" i="73"/>
  <c r="K96" i="73"/>
  <c r="D95" i="73"/>
  <c r="C95" i="73"/>
  <c r="AG78" i="73"/>
  <c r="AD78" i="73"/>
  <c r="AC78" i="73"/>
  <c r="AB78" i="73"/>
  <c r="AA78" i="73"/>
  <c r="Y78" i="73"/>
  <c r="W78" i="73"/>
  <c r="Q78" i="73"/>
  <c r="P78" i="73"/>
  <c r="N78" i="73"/>
  <c r="M78" i="73"/>
  <c r="L78" i="73"/>
  <c r="K78" i="73"/>
  <c r="AF78" i="73"/>
  <c r="AE78" i="73"/>
  <c r="X78" i="73"/>
  <c r="V78" i="73"/>
  <c r="U78" i="73"/>
  <c r="T78" i="73"/>
  <c r="S78" i="73"/>
  <c r="O78" i="73"/>
  <c r="D78" i="73"/>
  <c r="C78" i="73"/>
  <c r="AG63" i="73"/>
  <c r="AF63" i="73"/>
  <c r="AE63" i="73"/>
  <c r="AD63" i="73"/>
  <c r="AC63" i="73"/>
  <c r="AB63" i="73"/>
  <c r="AA63" i="73"/>
  <c r="Y63" i="73"/>
  <c r="X63" i="73"/>
  <c r="W63" i="73"/>
  <c r="V63" i="73"/>
  <c r="U63" i="73"/>
  <c r="T63" i="73"/>
  <c r="S63" i="73"/>
  <c r="Q63" i="73"/>
  <c r="P63" i="73"/>
  <c r="O63" i="73"/>
  <c r="N63" i="73"/>
  <c r="M63" i="73"/>
  <c r="L63" i="73"/>
  <c r="K63" i="73"/>
  <c r="D63" i="73"/>
  <c r="C63" i="73"/>
  <c r="AG60" i="73"/>
  <c r="AF60" i="73"/>
  <c r="AE60" i="73"/>
  <c r="AD60" i="73"/>
  <c r="AC60" i="73"/>
  <c r="AB60" i="73"/>
  <c r="AA60" i="73"/>
  <c r="Y60" i="73"/>
  <c r="X60" i="73"/>
  <c r="W60" i="73"/>
  <c r="V60" i="73"/>
  <c r="U60" i="73"/>
  <c r="T60" i="73"/>
  <c r="S60" i="73"/>
  <c r="Q60" i="73"/>
  <c r="P60" i="73"/>
  <c r="O60" i="73"/>
  <c r="N60" i="73"/>
  <c r="M60" i="73"/>
  <c r="L60" i="73"/>
  <c r="K60" i="73"/>
  <c r="D60" i="73"/>
  <c r="C60" i="73"/>
  <c r="AG53" i="73"/>
  <c r="AF53" i="73"/>
  <c r="AE53" i="73"/>
  <c r="AD53" i="73"/>
  <c r="AC53" i="73"/>
  <c r="AB53" i="73"/>
  <c r="AA53" i="73"/>
  <c r="Y53" i="73"/>
  <c r="X53" i="73"/>
  <c r="W53" i="73"/>
  <c r="V53" i="73"/>
  <c r="U53" i="73"/>
  <c r="T53" i="73"/>
  <c r="S53" i="73"/>
  <c r="Q53" i="73"/>
  <c r="P53" i="73"/>
  <c r="O53" i="73"/>
  <c r="N53" i="73"/>
  <c r="M53" i="73"/>
  <c r="L53" i="73"/>
  <c r="K53" i="73"/>
  <c r="D53" i="73"/>
  <c r="C53" i="73"/>
  <c r="AG48" i="73"/>
  <c r="AF48" i="73"/>
  <c r="AE48" i="73"/>
  <c r="AD48" i="73"/>
  <c r="AC48" i="73"/>
  <c r="AB48" i="73"/>
  <c r="AA48" i="73"/>
  <c r="Y48" i="73"/>
  <c r="X48" i="73"/>
  <c r="W48" i="73"/>
  <c r="V48" i="73"/>
  <c r="U48" i="73"/>
  <c r="T48" i="73"/>
  <c r="S48" i="73"/>
  <c r="Q48" i="73"/>
  <c r="P48" i="73"/>
  <c r="O48" i="73"/>
  <c r="N48" i="73"/>
  <c r="M48" i="73"/>
  <c r="L48" i="73"/>
  <c r="K48" i="73"/>
  <c r="D48" i="73"/>
  <c r="C48" i="73"/>
  <c r="AG42" i="73"/>
  <c r="AF42" i="73"/>
  <c r="AE42" i="73"/>
  <c r="AD42" i="73"/>
  <c r="AC42" i="73"/>
  <c r="AB42" i="73"/>
  <c r="AA42" i="73"/>
  <c r="AA52" i="73" s="1"/>
  <c r="Z4" i="81" s="1"/>
  <c r="Y42" i="73"/>
  <c r="X42" i="73"/>
  <c r="X52" i="73" s="1"/>
  <c r="W4" i="81" s="1"/>
  <c r="W42" i="73"/>
  <c r="W52" i="73" s="1"/>
  <c r="V4" i="81" s="1"/>
  <c r="V42" i="73"/>
  <c r="V52" i="73" s="1"/>
  <c r="U4" i="81" s="1"/>
  <c r="U42" i="73"/>
  <c r="T42" i="73"/>
  <c r="S42" i="73"/>
  <c r="Q42" i="73"/>
  <c r="P42" i="73"/>
  <c r="O42" i="73"/>
  <c r="N42" i="73"/>
  <c r="M42" i="73"/>
  <c r="L42" i="73"/>
  <c r="K42" i="73"/>
  <c r="D42" i="73"/>
  <c r="C42" i="73"/>
  <c r="C52" i="73" s="1"/>
  <c r="B4" i="81" s="1"/>
  <c r="H6" i="73"/>
  <c r="G6" i="73"/>
  <c r="F6" i="73"/>
  <c r="E6" i="73"/>
  <c r="AG5" i="73"/>
  <c r="AG7" i="73" s="1"/>
  <c r="Y5" i="73"/>
  <c r="Y6" i="73" s="1"/>
  <c r="Q5" i="73"/>
  <c r="Q7" i="73" s="1"/>
  <c r="I5" i="73"/>
  <c r="I7" i="73" s="1"/>
  <c r="AG128" i="73" l="1"/>
  <c r="C128" i="73"/>
  <c r="D128" i="73"/>
  <c r="E128" i="73"/>
  <c r="K128" i="73"/>
  <c r="L128" i="73"/>
  <c r="T128" i="73"/>
  <c r="W128" i="73"/>
  <c r="X128" i="73"/>
  <c r="Y128" i="73"/>
  <c r="AA128" i="73"/>
  <c r="AB128" i="73"/>
  <c r="AD128" i="73"/>
  <c r="BJ35" i="78"/>
  <c r="AO3" i="78"/>
  <c r="AO35" i="78" s="1"/>
  <c r="Y52" i="73"/>
  <c r="X4" i="81" s="1"/>
  <c r="G55" i="73"/>
  <c r="F101" i="73"/>
  <c r="F104" i="73" s="1"/>
  <c r="G54" i="73"/>
  <c r="F86" i="73"/>
  <c r="F53" i="73"/>
  <c r="G42" i="73"/>
  <c r="F42" i="73"/>
  <c r="I42" i="73"/>
  <c r="E42" i="73"/>
  <c r="H42" i="73"/>
  <c r="Y7" i="73"/>
  <c r="G50" i="73"/>
  <c r="G48" i="73" s="1"/>
  <c r="F89" i="73"/>
  <c r="H49" i="73"/>
  <c r="H65" i="73"/>
  <c r="G63" i="73"/>
  <c r="G62" i="73"/>
  <c r="F84" i="73"/>
  <c r="F60" i="73"/>
  <c r="F48" i="73"/>
  <c r="AE129" i="73"/>
  <c r="O129" i="73"/>
  <c r="AF129" i="73"/>
  <c r="Q129" i="73"/>
  <c r="AG6" i="73"/>
  <c r="H129" i="73"/>
  <c r="O135" i="73"/>
  <c r="AE135" i="73"/>
  <c r="AC135" i="73"/>
  <c r="P135" i="73"/>
  <c r="F129" i="73"/>
  <c r="AE52" i="73"/>
  <c r="AD4" i="81" s="1"/>
  <c r="Q52" i="73"/>
  <c r="P4" i="81" s="1"/>
  <c r="AG52" i="73"/>
  <c r="AF4" i="81" s="1"/>
  <c r="V129" i="73"/>
  <c r="O52" i="73"/>
  <c r="N4" i="81" s="1"/>
  <c r="X135" i="73"/>
  <c r="X127" i="73" s="1"/>
  <c r="S52" i="73"/>
  <c r="C96" i="73"/>
  <c r="L135" i="73"/>
  <c r="L127" i="73" s="1"/>
  <c r="AB135" i="73"/>
  <c r="AB127" i="73" s="1"/>
  <c r="H135" i="73"/>
  <c r="P52" i="73"/>
  <c r="O4" i="81" s="1"/>
  <c r="T52" i="73"/>
  <c r="S4" i="81" s="1"/>
  <c r="D96" i="73"/>
  <c r="M135" i="73"/>
  <c r="AD52" i="73"/>
  <c r="AC4" i="81" s="1"/>
  <c r="S129" i="73"/>
  <c r="AF52" i="73"/>
  <c r="AE4" i="81" s="1"/>
  <c r="U129" i="73"/>
  <c r="N135" i="73"/>
  <c r="AD135" i="73"/>
  <c r="AD127" i="73" s="1"/>
  <c r="AA59" i="73"/>
  <c r="AA66" i="73" s="1"/>
  <c r="AA67" i="73" s="1"/>
  <c r="F135" i="73"/>
  <c r="V135" i="73"/>
  <c r="I129" i="73"/>
  <c r="G135" i="73"/>
  <c r="W135" i="73"/>
  <c r="W127" i="73" s="1"/>
  <c r="P129" i="73"/>
  <c r="I135" i="73"/>
  <c r="Y135" i="73"/>
  <c r="Y127" i="73" s="1"/>
  <c r="I6" i="73"/>
  <c r="U52" i="73"/>
  <c r="Q6" i="73"/>
  <c r="K52" i="73"/>
  <c r="J4" i="81" s="1"/>
  <c r="AF135" i="73"/>
  <c r="M52" i="73"/>
  <c r="AC52" i="73"/>
  <c r="AB4" i="81" s="1"/>
  <c r="W59" i="73"/>
  <c r="W66" i="73" s="1"/>
  <c r="W67" i="73" s="1"/>
  <c r="AG135" i="73"/>
  <c r="AG127" i="73" s="1"/>
  <c r="N52" i="73"/>
  <c r="M4" i="81" s="1"/>
  <c r="X59" i="73"/>
  <c r="X66" i="73" s="1"/>
  <c r="X67" i="73" s="1"/>
  <c r="X85" i="73" s="1"/>
  <c r="X90" i="73" s="1"/>
  <c r="X105" i="73" s="1"/>
  <c r="C135" i="73"/>
  <c r="C127" i="73" s="1"/>
  <c r="S135" i="73"/>
  <c r="D135" i="73"/>
  <c r="D127" i="73" s="1"/>
  <c r="T135" i="73"/>
  <c r="T127" i="73" s="1"/>
  <c r="AA85" i="73"/>
  <c r="AA90" i="73" s="1"/>
  <c r="AA105" i="73" s="1"/>
  <c r="AA107" i="73" s="1"/>
  <c r="D104" i="73"/>
  <c r="G129" i="73"/>
  <c r="Y59" i="73"/>
  <c r="Y66" i="73" s="1"/>
  <c r="K127" i="73"/>
  <c r="E135" i="73"/>
  <c r="E127" i="73" s="1"/>
  <c r="AE104" i="73"/>
  <c r="P104" i="73"/>
  <c r="AB52" i="73"/>
  <c r="AA4" i="81" s="1"/>
  <c r="Q104" i="73"/>
  <c r="C59" i="73"/>
  <c r="C66" i="73" s="1"/>
  <c r="W85" i="73"/>
  <c r="W90" i="73" s="1"/>
  <c r="W105" i="73" s="1"/>
  <c r="V59" i="73"/>
  <c r="V66" i="73" s="1"/>
  <c r="D52" i="73"/>
  <c r="C4" i="81" s="1"/>
  <c r="U135" i="73"/>
  <c r="L52" i="73"/>
  <c r="K4" i="81" s="1"/>
  <c r="O104" i="73"/>
  <c r="AA127" i="73"/>
  <c r="M129" i="73"/>
  <c r="AC129" i="73"/>
  <c r="N129" i="73"/>
  <c r="S104" i="73"/>
  <c r="L104" i="73"/>
  <c r="AB104" i="73"/>
  <c r="M104" i="73"/>
  <c r="AC104" i="73"/>
  <c r="N104" i="73"/>
  <c r="AD104" i="73"/>
  <c r="N128" i="73" l="1"/>
  <c r="AC128" i="73"/>
  <c r="M128" i="73"/>
  <c r="G128" i="73"/>
  <c r="M59" i="73"/>
  <c r="M66" i="73" s="1"/>
  <c r="L4" i="81"/>
  <c r="U59" i="73"/>
  <c r="U66" i="73" s="1"/>
  <c r="T4" i="81"/>
  <c r="P128" i="73"/>
  <c r="P127" i="73" s="1"/>
  <c r="I128" i="73"/>
  <c r="U128" i="73"/>
  <c r="S128" i="73"/>
  <c r="S59" i="73"/>
  <c r="S66" i="73" s="1"/>
  <c r="R4" i="81"/>
  <c r="V128" i="73"/>
  <c r="V127" i="73" s="1"/>
  <c r="F128" i="73"/>
  <c r="H128" i="73"/>
  <c r="H127" i="73" s="1"/>
  <c r="Q128" i="73"/>
  <c r="Q127" i="73" s="1"/>
  <c r="AF128" i="73"/>
  <c r="O128" i="73"/>
  <c r="AE128" i="73"/>
  <c r="I65" i="73"/>
  <c r="I63" i="73" s="1"/>
  <c r="H63" i="73"/>
  <c r="I43" i="73"/>
  <c r="I79" i="73" s="1"/>
  <c r="F52" i="73"/>
  <c r="F43" i="73"/>
  <c r="F79" i="73" s="1"/>
  <c r="F78" i="73" s="1"/>
  <c r="H54" i="73"/>
  <c r="G86" i="73"/>
  <c r="G53" i="73"/>
  <c r="H62" i="73"/>
  <c r="G84" i="73"/>
  <c r="G60" i="73"/>
  <c r="I49" i="73"/>
  <c r="H43" i="73"/>
  <c r="H79" i="73" s="1"/>
  <c r="G52" i="73"/>
  <c r="F4" i="81" s="1"/>
  <c r="G43" i="73"/>
  <c r="G79" i="73" s="1"/>
  <c r="G78" i="73" s="1"/>
  <c r="H50" i="73"/>
  <c r="H48" i="73" s="1"/>
  <c r="H52" i="73" s="1"/>
  <c r="G4" i="81" s="1"/>
  <c r="G89" i="73"/>
  <c r="AE127" i="73"/>
  <c r="E52" i="73"/>
  <c r="E43" i="73"/>
  <c r="E79" i="73" s="1"/>
  <c r="E78" i="73" s="1"/>
  <c r="H55" i="73"/>
  <c r="G101" i="73"/>
  <c r="G104" i="73" s="1"/>
  <c r="S127" i="73"/>
  <c r="AF127" i="73"/>
  <c r="O127" i="73"/>
  <c r="AF59" i="73"/>
  <c r="AF66" i="73" s="1"/>
  <c r="F127" i="73"/>
  <c r="N59" i="73"/>
  <c r="N66" i="73" s="1"/>
  <c r="AD59" i="73"/>
  <c r="AD66" i="73" s="1"/>
  <c r="AD67" i="73" s="1"/>
  <c r="AD85" i="73" s="1"/>
  <c r="AD90" i="73" s="1"/>
  <c r="AD105" i="73" s="1"/>
  <c r="P59" i="73"/>
  <c r="P66" i="73" s="1"/>
  <c r="P67" i="73" s="1"/>
  <c r="P85" i="73" s="1"/>
  <c r="P90" i="73" s="1"/>
  <c r="P105" i="73" s="1"/>
  <c r="O59" i="73"/>
  <c r="O66" i="73" s="1"/>
  <c r="O67" i="73" s="1"/>
  <c r="O85" i="73" s="1"/>
  <c r="O90" i="73" s="1"/>
  <c r="O105" i="73" s="1"/>
  <c r="T59" i="73"/>
  <c r="AG59" i="73"/>
  <c r="AG66" i="73" s="1"/>
  <c r="AG67" i="73" s="1"/>
  <c r="AG85" i="73" s="1"/>
  <c r="AG90" i="73" s="1"/>
  <c r="AG105" i="73" s="1"/>
  <c r="I127" i="73"/>
  <c r="Q59" i="73"/>
  <c r="Q66" i="73" s="1"/>
  <c r="Q67" i="73" s="1"/>
  <c r="Q85" i="73" s="1"/>
  <c r="Q90" i="73" s="1"/>
  <c r="Q105" i="73" s="1"/>
  <c r="AE59" i="73"/>
  <c r="AE66" i="73" s="1"/>
  <c r="AE67" i="73" s="1"/>
  <c r="AE85" i="73" s="1"/>
  <c r="AE90" i="73" s="1"/>
  <c r="AE105" i="73" s="1"/>
  <c r="U127" i="73"/>
  <c r="W68" i="73"/>
  <c r="K59" i="73"/>
  <c r="K66" i="73" s="1"/>
  <c r="K67" i="73" s="1"/>
  <c r="K85" i="73" s="1"/>
  <c r="K90" i="73" s="1"/>
  <c r="K105" i="73" s="1"/>
  <c r="K107" i="73" s="1"/>
  <c r="AC59" i="73"/>
  <c r="AC66" i="73" s="1"/>
  <c r="AC67" i="73" s="1"/>
  <c r="AC85" i="73" s="1"/>
  <c r="AC90" i="73" s="1"/>
  <c r="AC105" i="73" s="1"/>
  <c r="Y67" i="73"/>
  <c r="Y85" i="73" s="1"/>
  <c r="Y90" i="73" s="1"/>
  <c r="Y105" i="73" s="1"/>
  <c r="G127" i="73"/>
  <c r="AF67" i="73"/>
  <c r="AF85" i="73" s="1"/>
  <c r="AF90" i="73" s="1"/>
  <c r="AF105" i="73" s="1"/>
  <c r="AA125" i="73"/>
  <c r="Z13" i="81" s="1"/>
  <c r="U67" i="73"/>
  <c r="U85" i="73" s="1"/>
  <c r="U90" i="73" s="1"/>
  <c r="U105" i="73" s="1"/>
  <c r="U68" i="73"/>
  <c r="N127" i="73"/>
  <c r="L59" i="73"/>
  <c r="AA68" i="73"/>
  <c r="S67" i="73"/>
  <c r="S85" i="73" s="1"/>
  <c r="S90" i="73" s="1"/>
  <c r="S105" i="73" s="1"/>
  <c r="S107" i="73" s="1"/>
  <c r="S68" i="73"/>
  <c r="C67" i="73"/>
  <c r="C68" i="73" s="1"/>
  <c r="D59" i="73"/>
  <c r="N67" i="73"/>
  <c r="N85" i="73" s="1"/>
  <c r="N90" i="73" s="1"/>
  <c r="N105" i="73" s="1"/>
  <c r="AC127" i="73"/>
  <c r="M127" i="73"/>
  <c r="X68" i="73"/>
  <c r="V67" i="73"/>
  <c r="V85" i="73" s="1"/>
  <c r="V90" i="73" s="1"/>
  <c r="V105" i="73" s="1"/>
  <c r="AB59" i="73"/>
  <c r="M67" i="73"/>
  <c r="M85" i="73" s="1"/>
  <c r="M90" i="73" s="1"/>
  <c r="M105" i="73" s="1"/>
  <c r="W6" i="81" l="1"/>
  <c r="W7" i="81"/>
  <c r="W8" i="81"/>
  <c r="B8" i="81"/>
  <c r="B7" i="81"/>
  <c r="B6" i="81"/>
  <c r="R8" i="81"/>
  <c r="R7" i="81"/>
  <c r="R6" i="81"/>
  <c r="Z8" i="81"/>
  <c r="Z7" i="81"/>
  <c r="Z6" i="81"/>
  <c r="T6" i="81"/>
  <c r="T7" i="81"/>
  <c r="T8" i="81"/>
  <c r="V6" i="81"/>
  <c r="V7" i="81"/>
  <c r="V8" i="81"/>
  <c r="E59" i="73"/>
  <c r="E66" i="73" s="1"/>
  <c r="D4" i="81"/>
  <c r="F59" i="73"/>
  <c r="F66" i="73" s="1"/>
  <c r="E4" i="81"/>
  <c r="G59" i="73"/>
  <c r="G66" i="73" s="1"/>
  <c r="G67" i="73" s="1"/>
  <c r="G88" i="73" s="1"/>
  <c r="G85" i="73" s="1"/>
  <c r="G90" i="73" s="1"/>
  <c r="G105" i="73" s="1"/>
  <c r="I50" i="73"/>
  <c r="I89" i="73" s="1"/>
  <c r="H89" i="73"/>
  <c r="E67" i="73"/>
  <c r="E88" i="73" s="1"/>
  <c r="E85" i="73" s="1"/>
  <c r="E90" i="73" s="1"/>
  <c r="E105" i="73" s="1"/>
  <c r="E68" i="73"/>
  <c r="I62" i="73"/>
  <c r="H84" i="73"/>
  <c r="H60" i="73"/>
  <c r="I54" i="73"/>
  <c r="H86" i="73"/>
  <c r="H53" i="73"/>
  <c r="H59" i="73" s="1"/>
  <c r="H66" i="73" s="1"/>
  <c r="I48" i="73"/>
  <c r="I52" i="73" s="1"/>
  <c r="H4" i="81" s="1"/>
  <c r="I55" i="73"/>
  <c r="I101" i="73" s="1"/>
  <c r="I104" i="73" s="1"/>
  <c r="H101" i="73"/>
  <c r="H104" i="73" s="1"/>
  <c r="H78" i="73"/>
  <c r="F67" i="73"/>
  <c r="F88" i="73" s="1"/>
  <c r="F85" i="73" s="1"/>
  <c r="F90" i="73" s="1"/>
  <c r="F105" i="73" s="1"/>
  <c r="T66" i="73"/>
  <c r="P68" i="73"/>
  <c r="AG68" i="73"/>
  <c r="Q68" i="73"/>
  <c r="W70" i="73"/>
  <c r="O68" i="73"/>
  <c r="Y68" i="73"/>
  <c r="M68" i="73"/>
  <c r="AD68" i="73"/>
  <c r="X70" i="73"/>
  <c r="AA123" i="73"/>
  <c r="AC68" i="73"/>
  <c r="K68" i="73"/>
  <c r="AF68" i="73"/>
  <c r="AB66" i="73"/>
  <c r="D66" i="73"/>
  <c r="U70" i="73"/>
  <c r="K125" i="73"/>
  <c r="J13" i="81" s="1"/>
  <c r="N68" i="73"/>
  <c r="S70" i="73"/>
  <c r="S125" i="73"/>
  <c r="R13" i="81" s="1"/>
  <c r="AE68" i="73"/>
  <c r="C70" i="73"/>
  <c r="B5" i="81" s="1"/>
  <c r="AA70" i="73"/>
  <c r="Z5" i="81" s="1"/>
  <c r="T67" i="73"/>
  <c r="T68" i="73"/>
  <c r="L66" i="73"/>
  <c r="V68" i="73"/>
  <c r="C85" i="73"/>
  <c r="C90" i="73" s="1"/>
  <c r="C105" i="73" s="1"/>
  <c r="C107" i="73" s="1"/>
  <c r="U6" i="81" l="1"/>
  <c r="U7" i="81"/>
  <c r="U8" i="81"/>
  <c r="S6" i="81"/>
  <c r="S7" i="81"/>
  <c r="S8" i="81"/>
  <c r="AD8" i="81"/>
  <c r="AD7" i="81"/>
  <c r="AD6" i="81"/>
  <c r="M6" i="81"/>
  <c r="M7" i="81"/>
  <c r="M8" i="81"/>
  <c r="AE8" i="81"/>
  <c r="AE7" i="81"/>
  <c r="AE6" i="81"/>
  <c r="J8" i="81"/>
  <c r="J7" i="81"/>
  <c r="J6" i="81"/>
  <c r="AB8" i="81"/>
  <c r="AB7" i="81"/>
  <c r="AB6" i="81"/>
  <c r="Z18" i="81"/>
  <c r="Z17" i="81"/>
  <c r="Z12" i="81"/>
  <c r="AC8" i="81"/>
  <c r="AC7" i="81"/>
  <c r="AC6" i="81"/>
  <c r="L6" i="81"/>
  <c r="L7" i="81"/>
  <c r="L8" i="81"/>
  <c r="X6" i="81"/>
  <c r="X7" i="81"/>
  <c r="X8" i="81"/>
  <c r="O70" i="73"/>
  <c r="N5" i="81" s="1"/>
  <c r="N6" i="81"/>
  <c r="N7" i="81"/>
  <c r="N8" i="81"/>
  <c r="P6" i="81"/>
  <c r="P7" i="81"/>
  <c r="P8" i="81"/>
  <c r="AG70" i="73"/>
  <c r="AF5" i="81" s="1"/>
  <c r="AF8" i="81"/>
  <c r="AF7" i="81"/>
  <c r="AF6" i="81"/>
  <c r="P70" i="73"/>
  <c r="O5" i="81" s="1"/>
  <c r="O6" i="81"/>
  <c r="O7" i="81"/>
  <c r="O8" i="81"/>
  <c r="E70" i="73"/>
  <c r="D5" i="81" s="1"/>
  <c r="D8" i="81"/>
  <c r="D7" i="81"/>
  <c r="D6" i="81"/>
  <c r="F68" i="73"/>
  <c r="H67" i="73"/>
  <c r="H88" i="73" s="1"/>
  <c r="H85" i="73" s="1"/>
  <c r="H90" i="73" s="1"/>
  <c r="H105" i="73" s="1"/>
  <c r="I86" i="73"/>
  <c r="I53" i="73"/>
  <c r="I59" i="73"/>
  <c r="G68" i="73"/>
  <c r="I84" i="73"/>
  <c r="I78" i="73" s="1"/>
  <c r="I60" i="73"/>
  <c r="Q70" i="73"/>
  <c r="P5" i="81" s="1"/>
  <c r="Y70" i="73"/>
  <c r="T70" i="73"/>
  <c r="T7" i="73"/>
  <c r="T8" i="73" s="1"/>
  <c r="S123" i="73"/>
  <c r="AC70" i="73"/>
  <c r="AB5" i="81" s="1"/>
  <c r="T85" i="73"/>
  <c r="T90" i="73" s="1"/>
  <c r="T105" i="73" s="1"/>
  <c r="T107" i="73" s="1"/>
  <c r="D67" i="73"/>
  <c r="D68" i="73" s="1"/>
  <c r="L67" i="73"/>
  <c r="M70" i="73"/>
  <c r="L5" i="81" s="1"/>
  <c r="V70" i="73"/>
  <c r="N70" i="73"/>
  <c r="M5" i="81" s="1"/>
  <c r="AB67" i="73"/>
  <c r="AB68" i="73" s="1"/>
  <c r="K123" i="73"/>
  <c r="AA113" i="73"/>
  <c r="AE70" i="73"/>
  <c r="AD5" i="81" s="1"/>
  <c r="AD70" i="73"/>
  <c r="AC5" i="81" s="1"/>
  <c r="K70" i="73"/>
  <c r="J5" i="81" s="1"/>
  <c r="AF70" i="73"/>
  <c r="AE5" i="81" s="1"/>
  <c r="Z16" i="81" l="1"/>
  <c r="Z15" i="81"/>
  <c r="Z9" i="81"/>
  <c r="J17" i="81"/>
  <c r="J18" i="81"/>
  <c r="J12" i="81"/>
  <c r="AA8" i="81"/>
  <c r="AA7" i="81"/>
  <c r="AA6" i="81"/>
  <c r="C8" i="81"/>
  <c r="C7" i="81"/>
  <c r="C6" i="81"/>
  <c r="R18" i="81"/>
  <c r="R17" i="81"/>
  <c r="R12" i="81"/>
  <c r="G70" i="73"/>
  <c r="F5" i="81" s="1"/>
  <c r="F8" i="81"/>
  <c r="F7" i="81"/>
  <c r="F6" i="81"/>
  <c r="F70" i="73"/>
  <c r="E5" i="81" s="1"/>
  <c r="E8" i="81"/>
  <c r="E7" i="81"/>
  <c r="E6" i="81"/>
  <c r="I66" i="73"/>
  <c r="H68" i="73"/>
  <c r="D70" i="73"/>
  <c r="C5" i="81" s="1"/>
  <c r="D7" i="73"/>
  <c r="D8" i="73" s="1"/>
  <c r="K113" i="73"/>
  <c r="AB85" i="73"/>
  <c r="AB90" i="73" s="1"/>
  <c r="AB105" i="73" s="1"/>
  <c r="AB107" i="73" s="1"/>
  <c r="C123" i="73"/>
  <c r="L85" i="73"/>
  <c r="L90" i="73" s="1"/>
  <c r="L105" i="73" s="1"/>
  <c r="L107" i="73" s="1"/>
  <c r="T125" i="73"/>
  <c r="S13" i="81" s="1"/>
  <c r="U75" i="73"/>
  <c r="U107" i="73" s="1"/>
  <c r="S113" i="73"/>
  <c r="AB70" i="73"/>
  <c r="AA5" i="81" s="1"/>
  <c r="AB7" i="73"/>
  <c r="AB8" i="73" s="1"/>
  <c r="L68" i="73"/>
  <c r="K6" i="81" l="1"/>
  <c r="K7" i="81"/>
  <c r="K8" i="81"/>
  <c r="R16" i="81"/>
  <c r="R15" i="81"/>
  <c r="R9" i="81"/>
  <c r="B18" i="81"/>
  <c r="B17" i="81"/>
  <c r="B12" i="81"/>
  <c r="J16" i="81"/>
  <c r="J15" i="81"/>
  <c r="J9" i="81"/>
  <c r="H70" i="73"/>
  <c r="G5" i="81" s="1"/>
  <c r="G8" i="81"/>
  <c r="G7" i="81"/>
  <c r="G6" i="81"/>
  <c r="I67" i="73"/>
  <c r="I88" i="73" s="1"/>
  <c r="I85" i="73" s="1"/>
  <c r="I90" i="73" s="1"/>
  <c r="I105" i="73" s="1"/>
  <c r="D85" i="73"/>
  <c r="D90" i="73" s="1"/>
  <c r="D105" i="73" s="1"/>
  <c r="D107" i="73" s="1"/>
  <c r="E75" i="73" s="1"/>
  <c r="E107" i="73" s="1"/>
  <c r="F75" i="73" s="1"/>
  <c r="F107" i="73" s="1"/>
  <c r="G75" i="73" s="1"/>
  <c r="G107" i="73" s="1"/>
  <c r="H75" i="73" s="1"/>
  <c r="H107" i="73" s="1"/>
  <c r="I75" i="73" s="1"/>
  <c r="L70" i="73"/>
  <c r="K5" i="81" s="1"/>
  <c r="L7" i="73"/>
  <c r="L8" i="73" s="1"/>
  <c r="C113" i="73"/>
  <c r="T123" i="73"/>
  <c r="U125" i="73"/>
  <c r="T13" i="81" s="1"/>
  <c r="V75" i="73"/>
  <c r="V107" i="73" s="1"/>
  <c r="L125" i="73"/>
  <c r="K13" i="81" s="1"/>
  <c r="M75" i="73"/>
  <c r="M107" i="73" s="1"/>
  <c r="AB125" i="73"/>
  <c r="AA13" i="81" s="1"/>
  <c r="AC75" i="73"/>
  <c r="AC107" i="73" s="1"/>
  <c r="S18" i="81" l="1"/>
  <c r="S17" i="81"/>
  <c r="S11" i="81"/>
  <c r="S12" i="81"/>
  <c r="B16" i="81"/>
  <c r="B15" i="81"/>
  <c r="B9" i="81"/>
  <c r="I107" i="73"/>
  <c r="I68" i="73"/>
  <c r="T113" i="73"/>
  <c r="V125" i="73"/>
  <c r="U13" i="81" s="1"/>
  <c r="W75" i="73"/>
  <c r="W107" i="73" s="1"/>
  <c r="AC125" i="73"/>
  <c r="AB13" i="81" s="1"/>
  <c r="AD75" i="73"/>
  <c r="AD107" i="73" s="1"/>
  <c r="N75" i="73"/>
  <c r="N107" i="73" s="1"/>
  <c r="M125" i="73"/>
  <c r="L13" i="81" s="1"/>
  <c r="U123" i="73"/>
  <c r="L123" i="73"/>
  <c r="AB123" i="73"/>
  <c r="AA18" i="81" l="1"/>
  <c r="AA17" i="81"/>
  <c r="AA12" i="81"/>
  <c r="K17" i="81"/>
  <c r="K18" i="81"/>
  <c r="K12" i="81"/>
  <c r="T18" i="81"/>
  <c r="T17" i="81"/>
  <c r="T11" i="81"/>
  <c r="T12" i="81"/>
  <c r="S16" i="81"/>
  <c r="S15" i="81"/>
  <c r="S9" i="81"/>
  <c r="I70" i="73"/>
  <c r="H5" i="81" s="1"/>
  <c r="H8" i="81"/>
  <c r="H7" i="81"/>
  <c r="H6" i="81"/>
  <c r="AB113" i="73"/>
  <c r="AC123" i="73"/>
  <c r="U113" i="73"/>
  <c r="O75" i="73"/>
  <c r="O107" i="73" s="1"/>
  <c r="N125" i="73"/>
  <c r="M13" i="81" s="1"/>
  <c r="X75" i="73"/>
  <c r="X107" i="73" s="1"/>
  <c r="W125" i="73"/>
  <c r="V13" i="81" s="1"/>
  <c r="M123" i="73"/>
  <c r="V123" i="73"/>
  <c r="D123" i="73"/>
  <c r="L113" i="73"/>
  <c r="AD125" i="73"/>
  <c r="AC13" i="81" s="1"/>
  <c r="AE75" i="73"/>
  <c r="AE107" i="73" s="1"/>
  <c r="K16" i="81" l="1"/>
  <c r="K15" i="81"/>
  <c r="K9" i="81"/>
  <c r="C18" i="81"/>
  <c r="C17" i="81"/>
  <c r="C12" i="81"/>
  <c r="U18" i="81"/>
  <c r="U17" i="81"/>
  <c r="U11" i="81"/>
  <c r="U12" i="81"/>
  <c r="L17" i="81"/>
  <c r="L18" i="81"/>
  <c r="L12" i="81"/>
  <c r="T16" i="81"/>
  <c r="T15" i="81"/>
  <c r="T9" i="81"/>
  <c r="AB18" i="81"/>
  <c r="AB17" i="81"/>
  <c r="AB12" i="81"/>
  <c r="AA16" i="81"/>
  <c r="AA15" i="81"/>
  <c r="AA9" i="81"/>
  <c r="AE125" i="73"/>
  <c r="AD13" i="81" s="1"/>
  <c r="AF75" i="73"/>
  <c r="AF107" i="73" s="1"/>
  <c r="AD123" i="73"/>
  <c r="V113" i="73"/>
  <c r="E123" i="73"/>
  <c r="N123" i="73"/>
  <c r="P75" i="73"/>
  <c r="P107" i="73" s="1"/>
  <c r="O125" i="73"/>
  <c r="N13" i="81" s="1"/>
  <c r="D113" i="73"/>
  <c r="M113" i="73"/>
  <c r="W123" i="73"/>
  <c r="AC113" i="73"/>
  <c r="X125" i="73"/>
  <c r="W13" i="81" s="1"/>
  <c r="Y75" i="73"/>
  <c r="Y107" i="73" s="1"/>
  <c r="AB16" i="81" l="1"/>
  <c r="AB15" i="81"/>
  <c r="AB9" i="81"/>
  <c r="V18" i="81"/>
  <c r="V17" i="81"/>
  <c r="V11" i="81"/>
  <c r="V12" i="81"/>
  <c r="L16" i="81"/>
  <c r="L15" i="81"/>
  <c r="L9" i="81"/>
  <c r="C16" i="81"/>
  <c r="C15" i="81"/>
  <c r="C9" i="81"/>
  <c r="M17" i="81"/>
  <c r="M18" i="81"/>
  <c r="M12" i="81"/>
  <c r="D18" i="81"/>
  <c r="D17" i="81"/>
  <c r="D12" i="81"/>
  <c r="U16" i="81"/>
  <c r="U15" i="81"/>
  <c r="U9" i="81"/>
  <c r="AC18" i="81"/>
  <c r="AC17" i="81"/>
  <c r="AC12" i="81"/>
  <c r="Q75" i="73"/>
  <c r="Q107" i="73" s="1"/>
  <c r="P125" i="73"/>
  <c r="O13" i="81" s="1"/>
  <c r="AD113" i="73"/>
  <c r="AE123" i="73"/>
  <c r="Y125" i="73"/>
  <c r="X13" i="81" s="1"/>
  <c r="W113" i="73"/>
  <c r="AF125" i="73"/>
  <c r="AE13" i="81" s="1"/>
  <c r="AG75" i="73"/>
  <c r="AG107" i="73" s="1"/>
  <c r="E113" i="73"/>
  <c r="F123" i="73"/>
  <c r="O123" i="73"/>
  <c r="X123" i="73"/>
  <c r="N113" i="73"/>
  <c r="M16" i="81" l="1"/>
  <c r="M15" i="81"/>
  <c r="M9" i="81"/>
  <c r="W18" i="81"/>
  <c r="W17" i="81"/>
  <c r="W11" i="81"/>
  <c r="W12" i="81"/>
  <c r="N17" i="81"/>
  <c r="N18" i="81"/>
  <c r="N12" i="81"/>
  <c r="E18" i="81"/>
  <c r="E17" i="81"/>
  <c r="E12" i="81"/>
  <c r="D16" i="81"/>
  <c r="D15" i="81"/>
  <c r="D9" i="81"/>
  <c r="V16" i="81"/>
  <c r="V15" i="81"/>
  <c r="V9" i="81"/>
  <c r="AD18" i="81"/>
  <c r="AD17" i="81"/>
  <c r="AD12" i="81"/>
  <c r="AC16" i="81"/>
  <c r="AC15" i="81"/>
  <c r="AC9" i="81"/>
  <c r="Q125" i="73"/>
  <c r="P13" i="81" s="1"/>
  <c r="AE113" i="73"/>
  <c r="X113" i="73"/>
  <c r="G123" i="73"/>
  <c r="AF123" i="73"/>
  <c r="F113" i="73"/>
  <c r="Y123" i="73"/>
  <c r="AG125" i="73"/>
  <c r="AF13" i="81" s="1"/>
  <c r="O113" i="73"/>
  <c r="P123" i="73"/>
  <c r="O17" i="81" l="1"/>
  <c r="O18" i="81"/>
  <c r="O12" i="81"/>
  <c r="N16" i="81"/>
  <c r="N15" i="81"/>
  <c r="N9" i="81"/>
  <c r="X18" i="81"/>
  <c r="X17" i="81"/>
  <c r="X12" i="81"/>
  <c r="E16" i="81"/>
  <c r="E15" i="81"/>
  <c r="E9" i="81"/>
  <c r="AE18" i="81"/>
  <c r="AE17" i="81"/>
  <c r="AE12" i="81"/>
  <c r="F18" i="81"/>
  <c r="F17" i="81"/>
  <c r="F12" i="81"/>
  <c r="W16" i="81"/>
  <c r="W15" i="81"/>
  <c r="W9" i="81"/>
  <c r="AD16" i="81"/>
  <c r="AD15" i="81"/>
  <c r="AD9" i="81"/>
  <c r="AG123" i="73"/>
  <c r="Y113" i="73"/>
  <c r="AF113" i="73"/>
  <c r="H123" i="73"/>
  <c r="P113" i="73"/>
  <c r="G113" i="73"/>
  <c r="Q123" i="73"/>
  <c r="P17" i="81" l="1"/>
  <c r="P18" i="81"/>
  <c r="P12" i="81"/>
  <c r="F16" i="81"/>
  <c r="F15" i="81"/>
  <c r="F9" i="81"/>
  <c r="O16" i="81"/>
  <c r="O15" i="81"/>
  <c r="O9" i="81"/>
  <c r="G18" i="81"/>
  <c r="G17" i="81"/>
  <c r="G12" i="81"/>
  <c r="AE16" i="81"/>
  <c r="AE15" i="81"/>
  <c r="AE9" i="81"/>
  <c r="X16" i="81"/>
  <c r="X15" i="81"/>
  <c r="X9" i="81"/>
  <c r="AF18" i="81"/>
  <c r="AF17" i="81"/>
  <c r="AF12" i="81"/>
  <c r="I123" i="73"/>
  <c r="H113" i="73"/>
  <c r="AG113" i="73"/>
  <c r="Q113" i="73"/>
  <c r="P16" i="81" l="1"/>
  <c r="P15" i="81"/>
  <c r="P9" i="81"/>
  <c r="AF16" i="81"/>
  <c r="AF15" i="81"/>
  <c r="AF9" i="81"/>
  <c r="G16" i="81"/>
  <c r="G15" i="81"/>
  <c r="G9" i="81"/>
  <c r="H18" i="81"/>
  <c r="H17" i="81"/>
  <c r="H12" i="81"/>
  <c r="I113" i="73"/>
  <c r="H16" i="81" l="1"/>
  <c r="H15" i="81"/>
  <c r="H9" i="81"/>
</calcChain>
</file>

<file path=xl/sharedStrings.xml><?xml version="1.0" encoding="utf-8"?>
<sst xmlns="http://schemas.openxmlformats.org/spreadsheetml/2006/main" count="808" uniqueCount="212">
  <si>
    <t>Цели 2025–2029, тыс. руб.</t>
  </si>
  <si>
    <t>А</t>
  </si>
  <si>
    <t>Б</t>
  </si>
  <si>
    <t>В</t>
  </si>
  <si>
    <t>Г</t>
  </si>
  <si>
    <t>2025 факт</t>
  </si>
  <si>
    <t>Выручка</t>
  </si>
  <si>
    <t>2030 х2 к 2025</t>
  </si>
  <si>
    <t>2030 х3.5 к 2025</t>
  </si>
  <si>
    <t>Прирост год к году, %</t>
  </si>
  <si>
    <t>Чистая прибыль</t>
  </si>
  <si>
    <t>Чистая прибыль, %</t>
  </si>
  <si>
    <t xml:space="preserve">2030 не &lt; 40% </t>
  </si>
  <si>
    <t xml:space="preserve">2030 не &lt; 30% </t>
  </si>
  <si>
    <t xml:space="preserve">2030 не &lt; 35% </t>
  </si>
  <si>
    <t>Информация по компании А от смежных подразделений</t>
  </si>
  <si>
    <t>Инфляция, %</t>
  </si>
  <si>
    <t>Индексация ЗП, %</t>
  </si>
  <si>
    <t>Доп. персонал в отдел разработки, штат. ед.</t>
  </si>
  <si>
    <t>-</t>
  </si>
  <si>
    <t>Средняя заработная плата потенциального персонала, руб.</t>
  </si>
  <si>
    <t>Соц. налоги на человека, %</t>
  </si>
  <si>
    <t>Количество платежей и переводов, всего</t>
  </si>
  <si>
    <t>Стоимость привлечения платежа/перевода, руб.</t>
  </si>
  <si>
    <t>Количество активных (платящих) пользователей, чел.</t>
  </si>
  <si>
    <t>Реестр внутригрупповых операций*, тыс. руб.</t>
  </si>
  <si>
    <t>2025 план</t>
  </si>
  <si>
    <t>Компания А оказывает услуги платёжного сервиса компании Б</t>
  </si>
  <si>
    <t>Компания А приобретает аутсорсинговые услуги для осуществления текущей деятельности сервиса платежей и переводов у компании Б</t>
  </si>
  <si>
    <t>Компания Б оказывает аутсорсинговые услуги компании В</t>
  </si>
  <si>
    <t>Компания В приобретает услуги платёжного сервиса у компании А</t>
  </si>
  <si>
    <t>Компания В приобретает программное обеспечение для осуществления текущей деятельности трейдинговой платформы у компании Б</t>
  </si>
  <si>
    <t>Компания Г приобретает услуги платёжного сервиса у компании А</t>
  </si>
  <si>
    <t>Компания Г приобретает аутсорсинговые услуги у компании Б</t>
  </si>
  <si>
    <t>Компания Г получила штраф за нарушение договорных обязательств от компании Б</t>
  </si>
  <si>
    <t>Компания А в прошлом периоде предоставила беспроцентный заём компании В</t>
  </si>
  <si>
    <t>платёж в части основного долга</t>
  </si>
  <si>
    <t>остаток долга на 31.12.2025</t>
  </si>
  <si>
    <t>*При взаиморасчётах между участниками группы по их основным видам деятельности, исполнение обязательств всеми сторонами-участниками происходит одновременно</t>
  </si>
  <si>
    <t>Отчётность участников Группы Stand alone</t>
  </si>
  <si>
    <t>Отчёт о прибылях и убытках, тыс. руб.</t>
  </si>
  <si>
    <t>Выручка от реализации</t>
  </si>
  <si>
    <t>Комиссии за обработку платежей и переводов</t>
  </si>
  <si>
    <t>Разработка программного обеспечения</t>
  </si>
  <si>
    <t>Аутсорсинговые услуги</t>
  </si>
  <si>
    <t>Комиссии трейдинговой площадки</t>
  </si>
  <si>
    <t>Комиссии за услуги бронирования</t>
  </si>
  <si>
    <t>Себестоимость реализации:</t>
  </si>
  <si>
    <t>Прямые расходы на персонал</t>
  </si>
  <si>
    <t>Оборудование, лицензии и программное обеспечение</t>
  </si>
  <si>
    <t>Прочие расходы</t>
  </si>
  <si>
    <t>Валовая прибыль</t>
  </si>
  <si>
    <t>Операционные расходы</t>
  </si>
  <si>
    <t>Расходы на персонал</t>
  </si>
  <si>
    <t>Аренда</t>
  </si>
  <si>
    <t>Реклама и маркетинг</t>
  </si>
  <si>
    <t>Операционная прибыль</t>
  </si>
  <si>
    <t>Внереализационные доходы</t>
  </si>
  <si>
    <t>Инвестиционный доход</t>
  </si>
  <si>
    <t>Прочие доходы</t>
  </si>
  <si>
    <t>Внереализационные расходы</t>
  </si>
  <si>
    <t>Проценты уплаченные (аннуитет, полное погашение долга в конце 2026)</t>
  </si>
  <si>
    <t>Прибыль до налогообложения</t>
  </si>
  <si>
    <t>Налог на прибыль</t>
  </si>
  <si>
    <t>Check</t>
  </si>
  <si>
    <t>в т. ч. амортизация</t>
  </si>
  <si>
    <t>EBITDA</t>
  </si>
  <si>
    <t>ОДДС, тыс. руб.</t>
  </si>
  <si>
    <t>Остаток денежных средств на начало периода</t>
  </si>
  <si>
    <t>Текущая (операционная) деятельность:</t>
  </si>
  <si>
    <t>Поступления, всего:</t>
  </si>
  <si>
    <t>Денежные средства, полученные за обработку платежей и переводов</t>
  </si>
  <si>
    <t>Денежные средства, полученные за разработку программного обеспечения</t>
  </si>
  <si>
    <t>Денежные средства, полученные от аутсорсинговых услуг</t>
  </si>
  <si>
    <t>Денежные средства, полученные за услуги трейдинговой площадки</t>
  </si>
  <si>
    <t>Денежные средства, полученные за услуги бронирования</t>
  </si>
  <si>
    <t>Прочие расчёты с контрагентами</t>
  </si>
  <si>
    <t>Выбытия, всего:</t>
  </si>
  <si>
    <t>Расчёты с персоналом</t>
  </si>
  <si>
    <t>Оплата маркетинговых и коммерческих расходов</t>
  </si>
  <si>
    <t>Уплаченный налог на прибыль</t>
  </si>
  <si>
    <t>Сальдо денежных средств по текущей деятельности:</t>
  </si>
  <si>
    <t>Инвестиционная деятельность:</t>
  </si>
  <si>
    <t>Дивиденды полученные</t>
  </si>
  <si>
    <t>Проценты полученные</t>
  </si>
  <si>
    <t>Проценты уплаченные</t>
  </si>
  <si>
    <t>Сальдо денежных средств по инвестиционной деятельности:</t>
  </si>
  <si>
    <t>Финансовая деятельность:</t>
  </si>
  <si>
    <t>Денежные средства, полученные по кредиту (тело)</t>
  </si>
  <si>
    <t>Денежные средства, уплаченные за аренду</t>
  </si>
  <si>
    <t>Денежные средства, уплаченные по кредиту (тело)</t>
  </si>
  <si>
    <t>Денежные средства, уплаченные в качестве дивидендов</t>
  </si>
  <si>
    <t>Сальдо денежных средств по финансовой деятельности:</t>
  </si>
  <si>
    <t>Денежный поток, итого</t>
  </si>
  <si>
    <t>Остаток денежных средств на конец периода</t>
  </si>
  <si>
    <t>Управленческий баланс*, тыс. руб.</t>
  </si>
  <si>
    <t>31.12.25 план</t>
  </si>
  <si>
    <t>31.12.25 факт</t>
  </si>
  <si>
    <t>31.12.26</t>
  </si>
  <si>
    <t>31.12.27</t>
  </si>
  <si>
    <t>31.12.28</t>
  </si>
  <si>
    <t>31.12.29</t>
  </si>
  <si>
    <t>31.12.30</t>
  </si>
  <si>
    <t>АКТИВЫ</t>
  </si>
  <si>
    <t>Внеоборотные активы:</t>
  </si>
  <si>
    <t>Основные средства</t>
  </si>
  <si>
    <t>Нематериальные активы</t>
  </si>
  <si>
    <t>Финансовые вложения</t>
  </si>
  <si>
    <t>Инвестиции в дочерние и ассоциированные компании</t>
  </si>
  <si>
    <t>в т. ч. в компанию Б</t>
  </si>
  <si>
    <t>в т. ч. в компанию В</t>
  </si>
  <si>
    <t>в т. ч. в компанию Г</t>
  </si>
  <si>
    <t>Оборотные активы:</t>
  </si>
  <si>
    <t>Дебиторская задолженность</t>
  </si>
  <si>
    <t>Денежные средства</t>
  </si>
  <si>
    <t>ПАССИВЫ</t>
  </si>
  <si>
    <t>Собственные средства:</t>
  </si>
  <si>
    <t>Собственный капитал</t>
  </si>
  <si>
    <t>Акционерный капитал*</t>
  </si>
  <si>
    <t>Фонды и резервы</t>
  </si>
  <si>
    <t>Нераспределённая прибыль</t>
  </si>
  <si>
    <t>в т. ч. на дату приобретения дочерних и ассоциированных компаний</t>
  </si>
  <si>
    <t>в т. ч. после приобретения дочерних и ассоциированных компаний</t>
  </si>
  <si>
    <t>Привлечённые средства:</t>
  </si>
  <si>
    <t>Долгосрочные обязательства</t>
  </si>
  <si>
    <t>Кредиты и заёмы свыше года</t>
  </si>
  <si>
    <t>Средства учредителей</t>
  </si>
  <si>
    <t>Краткосрочные обязательства</t>
  </si>
  <si>
    <t>Бюджет</t>
  </si>
  <si>
    <t>Прочие кредиторы</t>
  </si>
  <si>
    <t>Выплаченные дивиденды (дивиденды материнской компании не выплачиваются)</t>
  </si>
  <si>
    <t>*Величина акционерного капитала с даты приобретения компаний не менялась</t>
  </si>
  <si>
    <t>Консолидация по группе</t>
  </si>
  <si>
    <t>ВГО 1</t>
  </si>
  <si>
    <t>ВГО 2</t>
  </si>
  <si>
    <t>ВГО 3</t>
  </si>
  <si>
    <t>ВГО 4</t>
  </si>
  <si>
    <t>ВГО 5</t>
  </si>
  <si>
    <t>А---&gt;В беспроцентный заём</t>
  </si>
  <si>
    <t>Группа</t>
  </si>
  <si>
    <t>Доля ЧП от Г</t>
  </si>
  <si>
    <t>Доля прибыли ассоциированной компании</t>
  </si>
  <si>
    <t>принадлежащей группе</t>
  </si>
  <si>
    <t>принадлежащей неконтролируещей доли</t>
  </si>
  <si>
    <t xml:space="preserve">Неконтролирующая доля меньшиства </t>
  </si>
  <si>
    <t>Нераспределенная прибыль</t>
  </si>
  <si>
    <t>Акционерный капитал</t>
  </si>
  <si>
    <t>Беспроцентный заём</t>
  </si>
  <si>
    <t>Инвестиции в компанию Г</t>
  </si>
  <si>
    <t>Инвестиции в дочернии компании</t>
  </si>
  <si>
    <t xml:space="preserve">Без контроля доля меньшиства </t>
  </si>
  <si>
    <t>Нераспределнная прибыль</t>
  </si>
  <si>
    <t>Неконтролирующая доля меньшинства</t>
  </si>
  <si>
    <t>Расчёты для целей консолидации баланса:</t>
  </si>
  <si>
    <t>Шаг 1. Расчёт чистых активов на дату приобретения</t>
  </si>
  <si>
    <t>Компания А</t>
  </si>
  <si>
    <t>Акционерный капитал, тыс. руб.</t>
  </si>
  <si>
    <t>Нераспределённая прибыль, тыс. руб.</t>
  </si>
  <si>
    <t>Чистые активы, тыс. руб.</t>
  </si>
  <si>
    <t>Компания Б</t>
  </si>
  <si>
    <t>Компания В</t>
  </si>
  <si>
    <t>Компания Г</t>
  </si>
  <si>
    <t>Шаг 2. Расчёт гудвилла</t>
  </si>
  <si>
    <t>Первоначальные Инвестиции - приобретение 90%</t>
  </si>
  <si>
    <t>Неконтролирующая доля на момент приобретения</t>
  </si>
  <si>
    <t>Чистые активы на момент вхождения в группу</t>
  </si>
  <si>
    <t>Гудвилл</t>
  </si>
  <si>
    <t>Первоначальные Инвестиции - приобретение 60%</t>
  </si>
  <si>
    <t>Первоначальные Инвестиции - приобретение 30%</t>
  </si>
  <si>
    <t>Шаг 3. Расчёт неконтролирующей доли участия</t>
  </si>
  <si>
    <t>Доля прибыли (10%)  после вхождения в группу</t>
  </si>
  <si>
    <t xml:space="preserve">Неконтролирующая доля </t>
  </si>
  <si>
    <t>Доля прибыли (40%) после вхождения в группу</t>
  </si>
  <si>
    <t>Неконтролирующая доля</t>
  </si>
  <si>
    <t>Итого неконтролирующая доля холдинга</t>
  </si>
  <si>
    <t xml:space="preserve">Шаг 4. Расчёт нераспределённой прибыли холдинга </t>
  </si>
  <si>
    <t xml:space="preserve">Нераспределённая прибыль тыс. руб. </t>
  </si>
  <si>
    <t>Нераспределённая прибыль тыс. руб.(90%)</t>
  </si>
  <si>
    <t>Нераспределённая прибыль тыс. руб.(60%)</t>
  </si>
  <si>
    <t>Нераспределённая прибыль тыс. руб.(30%)</t>
  </si>
  <si>
    <t>Итого нераспределённая прибыль холдинга</t>
  </si>
  <si>
    <t>Шаг 5. Расчёт инвестиций в ассоциированные компании</t>
  </si>
  <si>
    <t>Первоначальные инвестиции — приобретение 30% (компания Г)</t>
  </si>
  <si>
    <t>Первоначальные Инвестиции - приобретение 90% (компания Б)</t>
  </si>
  <si>
    <t>Первоначальные Инвестиции - приобретение 60%(компания В)</t>
  </si>
  <si>
    <t>Итого инвестиции в ассоциированную компанию</t>
  </si>
  <si>
    <t>Показатель</t>
  </si>
  <si>
    <t>Показатели рентабельности</t>
  </si>
  <si>
    <t>Рентабельность продаж по валовой прибыли</t>
  </si>
  <si>
    <t>Рентабельность продаж по EBITDA</t>
  </si>
  <si>
    <t>Рентабельность продаж по чистой прибыли</t>
  </si>
  <si>
    <t>Рентабельность затрат (ROCS)</t>
  </si>
  <si>
    <t>Рентабельность собственного капитала (ROE)</t>
  </si>
  <si>
    <t>Рентабельность активов (ROA)</t>
  </si>
  <si>
    <t>Показатели ликвидности и платёжеспособности</t>
  </si>
  <si>
    <t xml:space="preserve">Коэффициент текущей ликвидности </t>
  </si>
  <si>
    <t>Коэффициент срочной ликвидности</t>
  </si>
  <si>
    <t>Коэффициент абсолютной ликвидности</t>
  </si>
  <si>
    <t>Показатели финансовой устойчивости компании</t>
  </si>
  <si>
    <t>Коэффициент финансовой независимости</t>
  </si>
  <si>
    <t>Коэффициент финансовой устойчивости</t>
  </si>
  <si>
    <t>Коэффициент обеспеченности собственными оборотными средствами</t>
  </si>
  <si>
    <t>Коэффициент маневренности собственного капитала</t>
  </si>
  <si>
    <t>Группа (Консолидация)</t>
  </si>
  <si>
    <t>Δ (+-) тыс.руб.</t>
  </si>
  <si>
    <t>Δ, (+-)%</t>
  </si>
  <si>
    <t>Факторный анализ влияния показателей ОПУ на Чистую Прибыль</t>
  </si>
  <si>
    <t>Фактор ОПУ на ЧП</t>
  </si>
  <si>
    <t>Факторный анализ отклонения чистой прибыли каждой компании на группу</t>
  </si>
  <si>
    <t>Компания</t>
  </si>
  <si>
    <t>Контролируемая доля</t>
  </si>
  <si>
    <t>Г с учетом владения доли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</si>
</sst>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,"/>
    <numFmt numFmtId="165" formatCode="0.0%"/>
    <numFmt numFmtId="166" formatCode="_-* #,##0_-;\-* #,##0_-;_-* &quot;-&quot;??_-;_-@_-"/>
    <numFmt numFmtId="167" formatCode="#,##0.0000"/>
    <numFmt numFmtId="168" formatCode="0.0000"/>
    <numFmt numFmtId="169" formatCode="_(* #,##0_);_(* \(#,##0\);_(* &quot;-&quot;??_);_(@_)"/>
    <numFmt numFmtId="170" formatCode="0.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Roboto"/>
    </font>
    <font>
      <sz val="11"/>
      <color theme="1"/>
      <name val="Roboto"/>
    </font>
    <font>
      <b/>
      <sz val="11"/>
      <color theme="1"/>
      <name val="Roboto"/>
    </font>
    <font>
      <sz val="11"/>
      <color rgb="FF000000"/>
      <name val="Roboto"/>
    </font>
    <font>
      <u/>
      <sz val="11"/>
      <color theme="10"/>
      <name val="Calibri"/>
      <family val="2"/>
      <scheme val="minor"/>
    </font>
    <font>
      <b/>
      <sz val="14"/>
      <color rgb="FF000000"/>
      <name val="Roboto"/>
    </font>
    <font>
      <b/>
      <sz val="12"/>
      <color theme="1"/>
      <name val="Roboto"/>
    </font>
    <font>
      <sz val="11"/>
      <color theme="1"/>
      <name val="Calibri"/>
      <family val="2"/>
    </font>
    <font>
      <i/>
      <sz val="11"/>
      <color rgb="FF000000"/>
      <name val="Roboto"/>
    </font>
    <font>
      <i/>
      <sz val="11"/>
      <color theme="1"/>
      <name val="Roboto"/>
    </font>
    <font>
      <sz val="10"/>
      <name val="Arial"/>
      <family val="2"/>
      <charset val="204"/>
    </font>
    <font>
      <b/>
      <sz val="11"/>
      <color theme="1"/>
      <name val="Roboto"/>
      <charset val="204"/>
    </font>
    <font>
      <sz val="11"/>
      <color rgb="FF000000"/>
      <name val="Roboto"/>
      <charset val="204"/>
    </font>
    <font>
      <sz val="11"/>
      <color theme="1"/>
      <name val="Roboto"/>
      <charset val="204"/>
    </font>
    <font>
      <sz val="10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Roboto"/>
      <charset val="1"/>
    </font>
    <font>
      <i/>
      <sz val="11"/>
      <color rgb="FF000000"/>
      <name val="Roboto"/>
      <charset val="1"/>
    </font>
    <font>
      <b/>
      <sz val="11"/>
      <color rgb="FF000000"/>
      <name val="Roboto"/>
      <charset val="1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rgb="FF000000"/>
      <name val="Arial"/>
      <family val="2"/>
    </font>
    <font>
      <i/>
      <sz val="12"/>
      <color theme="1"/>
      <name val="Arial"/>
      <family val="2"/>
    </font>
    <font>
      <sz val="12"/>
      <color rgb="FF000000"/>
      <name val="Arial"/>
      <family val="2"/>
    </font>
    <font>
      <b/>
      <i/>
      <sz val="11"/>
      <color rgb="FF000000"/>
      <name val="Roboto"/>
    </font>
    <font>
      <b/>
      <i/>
      <sz val="12"/>
      <color rgb="FF000000"/>
      <name val="Arial"/>
      <family val="2"/>
    </font>
    <font>
      <b/>
      <i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b/>
      <sz val="11"/>
      <color rgb="FF0070C0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E3C3A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D5C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</fills>
  <borders count="10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/>
      <bottom style="medium">
        <color theme="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medium">
        <color theme="1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0" tint="-0.14996795556505021"/>
      </left>
      <right/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/>
      <diagonal/>
    </border>
    <border>
      <left/>
      <right style="thin">
        <color theme="0" tint="-0.14999847407452621"/>
      </right>
      <top style="medium">
        <color theme="1"/>
      </top>
      <bottom style="medium">
        <color theme="1"/>
      </bottom>
      <diagonal/>
    </border>
    <border>
      <left style="thin">
        <color theme="0" tint="-0.14999847407452621"/>
      </left>
      <right/>
      <top style="medium">
        <color theme="1"/>
      </top>
      <bottom style="medium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2" tint="-0.24994659260841701"/>
      </right>
      <top/>
      <bottom style="medium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medium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n">
        <color theme="0" tint="-0.14996795556505021"/>
      </right>
      <top style="medium">
        <color theme="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rgb="FFAEAAAA"/>
      </right>
      <top/>
      <bottom style="thin">
        <color rgb="FFAEAAAA"/>
      </bottom>
      <diagonal/>
    </border>
    <border>
      <left/>
      <right/>
      <top/>
      <bottom style="thin">
        <color rgb="FFAEAAAA"/>
      </bottom>
      <diagonal/>
    </border>
    <border>
      <left style="thin">
        <color rgb="FFAEAAAA"/>
      </left>
      <right/>
      <top/>
      <bottom/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theme="2" tint="-0.24994659260841701"/>
      </bottom>
      <diagonal/>
    </border>
    <border>
      <left/>
      <right style="medium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auto="1"/>
      </right>
      <top style="thin">
        <color theme="2" tint="-0.24994659260841701"/>
      </top>
      <bottom/>
      <diagonal/>
    </border>
    <border>
      <left/>
      <right style="medium">
        <color auto="1"/>
      </right>
      <top/>
      <bottom style="medium">
        <color theme="1"/>
      </bottom>
      <diagonal/>
    </border>
    <border>
      <left/>
      <right style="medium">
        <color auto="1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auto="1"/>
      </right>
      <top/>
      <bottom style="thin">
        <color theme="2" tint="-0.249977111117893"/>
      </bottom>
      <diagonal/>
    </border>
    <border>
      <left/>
      <right style="medium">
        <color auto="1"/>
      </right>
      <top style="thin">
        <color theme="2" tint="-0.249977111117893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theme="1" tint="0.34998626667073579"/>
      </right>
      <top style="thin">
        <color theme="2" tint="-0.24994659260841701"/>
      </top>
      <bottom/>
      <diagonal/>
    </border>
    <border>
      <left/>
      <right style="medium">
        <color theme="1" tint="0.34998626667073579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  <border>
      <left/>
      <right style="thin">
        <color theme="0" tint="-0.14999847407452621"/>
      </right>
      <top/>
      <bottom style="double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double">
        <color indexed="64"/>
      </bottom>
      <diagonal/>
    </border>
    <border>
      <left style="thin">
        <color theme="0" tint="-0.1499984740745262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double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double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rgb="FF000000"/>
      </bottom>
      <diagonal/>
    </border>
    <border>
      <left style="thin">
        <color theme="2" tint="-0.249977111117893"/>
      </left>
      <right style="medium">
        <color auto="1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theme="2" tint="-0.24994659260841701"/>
      </right>
      <top/>
      <bottom style="medium">
        <color auto="1"/>
      </bottom>
      <diagonal/>
    </border>
    <border>
      <left/>
      <right style="thin">
        <color theme="2" tint="-0.24994659260841701"/>
      </right>
      <top/>
      <bottom style="medium">
        <color auto="1"/>
      </bottom>
      <diagonal/>
    </border>
    <border>
      <left style="thin">
        <color theme="2" tint="-0.24994659260841701"/>
      </left>
      <right style="hair">
        <color auto="1"/>
      </right>
      <top style="hair">
        <color auto="1"/>
      </top>
      <bottom style="medium">
        <color theme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theme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6" fillId="0" borderId="0"/>
  </cellStyleXfs>
  <cellXfs count="429">
    <xf numFmtId="0" fontId="0" fillId="0" borderId="0" xfId="0"/>
    <xf numFmtId="0" fontId="3" fillId="0" borderId="0" xfId="0" applyFont="1"/>
    <xf numFmtId="164" fontId="3" fillId="0" borderId="0" xfId="0" applyNumberFormat="1" applyFont="1"/>
    <xf numFmtId="3" fontId="0" fillId="0" borderId="0" xfId="0" applyNumberFormat="1"/>
    <xf numFmtId="0" fontId="0" fillId="0" borderId="0" xfId="0" applyAlignment="1">
      <alignment vertical="center"/>
    </xf>
    <xf numFmtId="0" fontId="5" fillId="0" borderId="2" xfId="0" applyFont="1" applyBorder="1" applyAlignment="1">
      <alignment vertical="center"/>
    </xf>
    <xf numFmtId="0" fontId="8" fillId="0" borderId="0" xfId="0" applyFont="1"/>
    <xf numFmtId="3" fontId="4" fillId="0" borderId="9" xfId="0" applyNumberFormat="1" applyFont="1" applyBorder="1"/>
    <xf numFmtId="3" fontId="3" fillId="0" borderId="9" xfId="0" applyNumberFormat="1" applyFont="1" applyBorder="1"/>
    <xf numFmtId="3" fontId="3" fillId="0" borderId="0" xfId="0" applyNumberFormat="1" applyFont="1"/>
    <xf numFmtId="3" fontId="4" fillId="0" borderId="14" xfId="0" applyNumberFormat="1" applyFont="1" applyBorder="1"/>
    <xf numFmtId="0" fontId="8" fillId="0" borderId="7" xfId="0" applyFont="1" applyBorder="1" applyAlignment="1">
      <alignment vertical="center" readingOrder="1"/>
    </xf>
    <xf numFmtId="0" fontId="8" fillId="0" borderId="8" xfId="0" applyFont="1" applyBorder="1"/>
    <xf numFmtId="0" fontId="4" fillId="0" borderId="15" xfId="0" applyFont="1" applyBorder="1" applyAlignment="1">
      <alignment vertical="center" readingOrder="1"/>
    </xf>
    <xf numFmtId="0" fontId="4" fillId="0" borderId="16" xfId="0" applyFont="1" applyBorder="1" applyAlignment="1">
      <alignment horizontal="left" vertical="center" indent="2" readingOrder="1"/>
    </xf>
    <xf numFmtId="0" fontId="3" fillId="0" borderId="16" xfId="0" applyFont="1" applyBorder="1" applyAlignment="1">
      <alignment horizontal="left" vertical="center" indent="3" readingOrder="1"/>
    </xf>
    <xf numFmtId="0" fontId="3" fillId="0" borderId="10" xfId="0" applyFont="1" applyBorder="1"/>
    <xf numFmtId="0" fontId="8" fillId="0" borderId="10" xfId="0" applyFont="1" applyBorder="1"/>
    <xf numFmtId="0" fontId="4" fillId="0" borderId="17" xfId="0" applyFont="1" applyBorder="1" applyAlignment="1">
      <alignment vertical="center" readingOrder="1"/>
    </xf>
    <xf numFmtId="0" fontId="4" fillId="0" borderId="15" xfId="0" applyFont="1" applyBorder="1" applyAlignment="1">
      <alignment horizontal="left" vertical="center" indent="2" readingOrder="1"/>
    </xf>
    <xf numFmtId="0" fontId="8" fillId="0" borderId="11" xfId="0" applyFont="1" applyBorder="1"/>
    <xf numFmtId="0" fontId="3" fillId="0" borderId="8" xfId="0" applyFont="1" applyBorder="1"/>
    <xf numFmtId="0" fontId="3" fillId="0" borderId="11" xfId="0" applyFont="1" applyBorder="1"/>
    <xf numFmtId="0" fontId="9" fillId="0" borderId="0" xfId="0" applyFont="1" applyAlignment="1">
      <alignment vertical="center" readingOrder="1"/>
    </xf>
    <xf numFmtId="3" fontId="2" fillId="0" borderId="0" xfId="0" applyNumberFormat="1" applyFont="1" applyAlignment="1">
      <alignment vertical="center"/>
    </xf>
    <xf numFmtId="0" fontId="8" fillId="0" borderId="18" xfId="0" applyFont="1" applyBorder="1" applyAlignment="1">
      <alignment vertical="center" readingOrder="1"/>
    </xf>
    <xf numFmtId="0" fontId="8" fillId="0" borderId="13" xfId="0" applyFont="1" applyBorder="1"/>
    <xf numFmtId="0" fontId="3" fillId="0" borderId="19" xfId="0" applyFont="1" applyBorder="1" applyAlignment="1">
      <alignment horizontal="left" vertical="center" indent="3" readingOrder="1"/>
    </xf>
    <xf numFmtId="3" fontId="11" fillId="0" borderId="14" xfId="0" applyNumberFormat="1" applyFont="1" applyBorder="1"/>
    <xf numFmtId="0" fontId="3" fillId="0" borderId="0" xfId="0" applyFont="1" applyAlignment="1">
      <alignment horizontal="left" vertical="center" indent="3" readingOrder="1"/>
    </xf>
    <xf numFmtId="0" fontId="2" fillId="0" borderId="0" xfId="0" applyFont="1" applyAlignment="1">
      <alignment vertical="center"/>
    </xf>
    <xf numFmtId="165" fontId="0" fillId="0" borderId="0" xfId="3" applyNumberFormat="1" applyFont="1" applyAlignment="1">
      <alignment vertical="center"/>
    </xf>
    <xf numFmtId="0" fontId="5" fillId="0" borderId="4" xfId="0" applyFont="1" applyBorder="1" applyAlignment="1">
      <alignment vertical="center"/>
    </xf>
    <xf numFmtId="165" fontId="3" fillId="0" borderId="3" xfId="0" applyNumberFormat="1" applyFont="1" applyBorder="1" applyAlignment="1">
      <alignment vertical="center"/>
    </xf>
    <xf numFmtId="0" fontId="7" fillId="4" borderId="0" xfId="0" applyFont="1" applyFill="1"/>
    <xf numFmtId="3" fontId="4" fillId="0" borderId="0" xfId="0" applyNumberFormat="1" applyFont="1"/>
    <xf numFmtId="3" fontId="11" fillId="0" borderId="0" xfId="0" applyNumberFormat="1" applyFont="1"/>
    <xf numFmtId="165" fontId="3" fillId="0" borderId="21" xfId="0" applyNumberFormat="1" applyFont="1" applyBorder="1" applyAlignment="1">
      <alignment vertical="center"/>
    </xf>
    <xf numFmtId="165" fontId="3" fillId="0" borderId="20" xfId="0" applyNumberFormat="1" applyFont="1" applyBorder="1" applyAlignment="1">
      <alignment vertical="center"/>
    </xf>
    <xf numFmtId="3" fontId="3" fillId="0" borderId="22" xfId="0" applyNumberFormat="1" applyFont="1" applyBorder="1"/>
    <xf numFmtId="3" fontId="3" fillId="0" borderId="23" xfId="0" applyNumberFormat="1" applyFont="1" applyBorder="1"/>
    <xf numFmtId="0" fontId="4" fillId="3" borderId="0" xfId="0" applyFont="1" applyFill="1" applyAlignment="1">
      <alignment horizontal="center" vertical="center" wrapText="1"/>
    </xf>
    <xf numFmtId="0" fontId="8" fillId="0" borderId="0" xfId="0" quotePrefix="1" applyFont="1"/>
    <xf numFmtId="3" fontId="3" fillId="0" borderId="12" xfId="0" applyNumberFormat="1" applyFont="1" applyBorder="1"/>
    <xf numFmtId="0" fontId="2" fillId="0" borderId="25" xfId="0" applyFont="1" applyBorder="1"/>
    <xf numFmtId="0" fontId="3" fillId="0" borderId="26" xfId="0" applyFont="1" applyBorder="1" applyAlignment="1">
      <alignment horizontal="left" indent="2"/>
    </xf>
    <xf numFmtId="0" fontId="10" fillId="0" borderId="0" xfId="0" applyFont="1"/>
    <xf numFmtId="0" fontId="2" fillId="0" borderId="0" xfId="0" applyFont="1"/>
    <xf numFmtId="3" fontId="4" fillId="0" borderId="8" xfId="0" applyNumberFormat="1" applyFont="1" applyBorder="1"/>
    <xf numFmtId="3" fontId="3" fillId="0" borderId="8" xfId="0" applyNumberFormat="1" applyFont="1" applyBorder="1"/>
    <xf numFmtId="3" fontId="4" fillId="0" borderId="11" xfId="0" applyNumberFormat="1" applyFont="1" applyBorder="1"/>
    <xf numFmtId="3" fontId="11" fillId="0" borderId="13" xfId="0" applyNumberFormat="1" applyFont="1" applyBorder="1"/>
    <xf numFmtId="3" fontId="4" fillId="0" borderId="13" xfId="0" applyNumberFormat="1" applyFont="1" applyBorder="1"/>
    <xf numFmtId="3" fontId="4" fillId="0" borderId="7" xfId="0" applyNumberFormat="1" applyFont="1" applyBorder="1"/>
    <xf numFmtId="3" fontId="4" fillId="0" borderId="25" xfId="0" applyNumberFormat="1" applyFont="1" applyBorder="1"/>
    <xf numFmtId="3" fontId="3" fillId="0" borderId="25" xfId="0" applyNumberFormat="1" applyFont="1" applyBorder="1"/>
    <xf numFmtId="3" fontId="4" fillId="0" borderId="27" xfId="0" applyNumberFormat="1" applyFont="1" applyBorder="1"/>
    <xf numFmtId="0" fontId="4" fillId="0" borderId="28" xfId="0" applyFont="1" applyBorder="1" applyAlignment="1">
      <alignment horizontal="left" vertical="center"/>
    </xf>
    <xf numFmtId="0" fontId="4" fillId="3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3" fontId="8" fillId="0" borderId="0" xfId="0" applyNumberFormat="1" applyFont="1"/>
    <xf numFmtId="0" fontId="4" fillId="0" borderId="10" xfId="0" applyFont="1" applyBorder="1" applyAlignment="1">
      <alignment horizontal="left" vertical="center" indent="2" readingOrder="1"/>
    </xf>
    <xf numFmtId="3" fontId="4" fillId="0" borderId="30" xfId="0" applyNumberFormat="1" applyFont="1" applyBorder="1"/>
    <xf numFmtId="3" fontId="3" fillId="0" borderId="30" xfId="0" applyNumberFormat="1" applyFont="1" applyBorder="1"/>
    <xf numFmtId="3" fontId="4" fillId="0" borderId="32" xfId="0" applyNumberFormat="1" applyFont="1" applyBorder="1"/>
    <xf numFmtId="3" fontId="11" fillId="0" borderId="32" xfId="0" applyNumberFormat="1" applyFont="1" applyBorder="1"/>
    <xf numFmtId="165" fontId="3" fillId="0" borderId="0" xfId="3" applyNumberFormat="1" applyFont="1" applyFill="1" applyBorder="1"/>
    <xf numFmtId="3" fontId="4" fillId="0" borderId="36" xfId="0" applyNumberFormat="1" applyFont="1" applyBorder="1"/>
    <xf numFmtId="3" fontId="3" fillId="0" borderId="11" xfId="0" applyNumberFormat="1" applyFont="1" applyBorder="1"/>
    <xf numFmtId="0" fontId="5" fillId="0" borderId="0" xfId="0" applyFont="1" applyAlignment="1">
      <alignment vertical="center"/>
    </xf>
    <xf numFmtId="0" fontId="7" fillId="4" borderId="1" xfId="0" applyFont="1" applyFill="1" applyBorder="1"/>
    <xf numFmtId="3" fontId="3" fillId="0" borderId="31" xfId="0" applyNumberFormat="1" applyFont="1" applyBorder="1"/>
    <xf numFmtId="3" fontId="4" fillId="0" borderId="10" xfId="0" applyNumberFormat="1" applyFont="1" applyBorder="1"/>
    <xf numFmtId="3" fontId="3" fillId="0" borderId="34" xfId="0" applyNumberFormat="1" applyFont="1" applyBorder="1"/>
    <xf numFmtId="3" fontId="3" fillId="0" borderId="3" xfId="0" applyNumberFormat="1" applyFont="1" applyBorder="1" applyAlignment="1">
      <alignment vertical="center"/>
    </xf>
    <xf numFmtId="9" fontId="3" fillId="0" borderId="22" xfId="3" applyFont="1" applyBorder="1"/>
    <xf numFmtId="9" fontId="3" fillId="0" borderId="23" xfId="3" applyFont="1" applyBorder="1"/>
    <xf numFmtId="3" fontId="4" fillId="0" borderId="34" xfId="0" applyNumberFormat="1" applyFont="1" applyBorder="1"/>
    <xf numFmtId="165" fontId="0" fillId="0" borderId="0" xfId="0" applyNumberFormat="1" applyAlignment="1">
      <alignment vertical="center"/>
    </xf>
    <xf numFmtId="9" fontId="0" fillId="0" borderId="0" xfId="3" applyFont="1" applyAlignment="1">
      <alignment vertical="center"/>
    </xf>
    <xf numFmtId="166" fontId="0" fillId="0" borderId="0" xfId="1" applyNumberFormat="1" applyFont="1" applyAlignment="1">
      <alignment vertical="center"/>
    </xf>
    <xf numFmtId="3" fontId="3" fillId="0" borderId="37" xfId="0" applyNumberFormat="1" applyFont="1" applyBorder="1"/>
    <xf numFmtId="3" fontId="3" fillId="0" borderId="38" xfId="0" applyNumberFormat="1" applyFont="1" applyBorder="1"/>
    <xf numFmtId="0" fontId="3" fillId="0" borderId="0" xfId="0" applyFont="1" applyAlignment="1">
      <alignment vertical="center" readingOrder="1"/>
    </xf>
    <xf numFmtId="3" fontId="0" fillId="0" borderId="10" xfId="0" applyNumberFormat="1" applyBorder="1"/>
    <xf numFmtId="0" fontId="0" fillId="0" borderId="1" xfId="0" applyBorder="1" applyAlignment="1">
      <alignment vertical="center"/>
    </xf>
    <xf numFmtId="3" fontId="0" fillId="0" borderId="0" xfId="0" applyNumberFormat="1" applyAlignment="1">
      <alignment vertical="center"/>
    </xf>
    <xf numFmtId="0" fontId="4" fillId="0" borderId="0" xfId="0" applyFont="1" applyAlignment="1">
      <alignment vertical="center" readingOrder="1"/>
    </xf>
    <xf numFmtId="0" fontId="4" fillId="0" borderId="40" xfId="0" applyFont="1" applyBorder="1" applyAlignment="1">
      <alignment horizontal="left" vertical="center" indent="2" readingOrder="1"/>
    </xf>
    <xf numFmtId="0" fontId="3" fillId="0" borderId="40" xfId="0" applyFont="1" applyBorder="1" applyAlignment="1">
      <alignment horizontal="left" vertical="center" indent="6" readingOrder="1"/>
    </xf>
    <xf numFmtId="3" fontId="0" fillId="0" borderId="33" xfId="0" applyNumberFormat="1" applyBorder="1"/>
    <xf numFmtId="3" fontId="4" fillId="0" borderId="33" xfId="0" applyNumberFormat="1" applyFont="1" applyBorder="1"/>
    <xf numFmtId="3" fontId="3" fillId="0" borderId="10" xfId="0" applyNumberFormat="1" applyFont="1" applyBorder="1"/>
    <xf numFmtId="3" fontId="3" fillId="0" borderId="33" xfId="0" applyNumberFormat="1" applyFont="1" applyBorder="1"/>
    <xf numFmtId="3" fontId="0" fillId="0" borderId="34" xfId="0" applyNumberFormat="1" applyBorder="1"/>
    <xf numFmtId="167" fontId="3" fillId="0" borderId="0" xfId="0" applyNumberFormat="1" applyFont="1"/>
    <xf numFmtId="0" fontId="7" fillId="4" borderId="24" xfId="0" applyFont="1" applyFill="1" applyBorder="1"/>
    <xf numFmtId="0" fontId="4" fillId="5" borderId="0" xfId="0" applyFont="1" applyFill="1" applyAlignment="1">
      <alignment horizontal="center" vertical="center" wrapText="1"/>
    </xf>
    <xf numFmtId="9" fontId="0" fillId="0" borderId="24" xfId="3" applyFont="1" applyFill="1" applyBorder="1" applyAlignment="1">
      <alignment vertical="center"/>
    </xf>
    <xf numFmtId="3" fontId="3" fillId="0" borderId="41" xfId="0" applyNumberFormat="1" applyFont="1" applyBorder="1"/>
    <xf numFmtId="3" fontId="3" fillId="0" borderId="42" xfId="0" applyNumberFormat="1" applyFont="1" applyBorder="1"/>
    <xf numFmtId="0" fontId="5" fillId="0" borderId="5" xfId="0" applyFont="1" applyBorder="1" applyAlignment="1">
      <alignment vertical="center"/>
    </xf>
    <xf numFmtId="3" fontId="3" fillId="0" borderId="43" xfId="0" applyNumberFormat="1" applyFont="1" applyBorder="1"/>
    <xf numFmtId="3" fontId="3" fillId="0" borderId="44" xfId="0" applyNumberFormat="1" applyFont="1" applyBorder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3" fontId="15" fillId="0" borderId="0" xfId="0" applyNumberFormat="1" applyFont="1" applyAlignment="1">
      <alignment vertical="center"/>
    </xf>
    <xf numFmtId="9" fontId="0" fillId="0" borderId="0" xfId="3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 indent="3"/>
    </xf>
    <xf numFmtId="0" fontId="5" fillId="0" borderId="39" xfId="0" applyFont="1" applyBorder="1" applyAlignment="1">
      <alignment horizontal="left" vertical="center" indent="3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4" fillId="0" borderId="45" xfId="0" applyFont="1" applyBorder="1" applyAlignment="1">
      <alignment horizontal="left" vertical="center"/>
    </xf>
    <xf numFmtId="165" fontId="3" fillId="0" borderId="46" xfId="0" applyNumberFormat="1" applyFont="1" applyBorder="1" applyAlignment="1">
      <alignment vertical="center"/>
    </xf>
    <xf numFmtId="165" fontId="3" fillId="0" borderId="5" xfId="0" applyNumberFormat="1" applyFont="1" applyBorder="1" applyAlignment="1">
      <alignment vertical="center"/>
    </xf>
    <xf numFmtId="3" fontId="3" fillId="0" borderId="47" xfId="0" applyNumberFormat="1" applyFont="1" applyBorder="1" applyAlignment="1">
      <alignment horizontal="center"/>
    </xf>
    <xf numFmtId="3" fontId="3" fillId="0" borderId="5" xfId="0" applyNumberFormat="1" applyFont="1" applyBorder="1" applyAlignment="1">
      <alignment vertical="center"/>
    </xf>
    <xf numFmtId="3" fontId="3" fillId="0" borderId="35" xfId="0" applyNumberFormat="1" applyFont="1" applyBorder="1" applyAlignment="1">
      <alignment vertical="center"/>
    </xf>
    <xf numFmtId="165" fontId="3" fillId="0" borderId="22" xfId="3" applyNumberFormat="1" applyFont="1" applyFill="1" applyBorder="1"/>
    <xf numFmtId="165" fontId="3" fillId="0" borderId="23" xfId="3" applyNumberFormat="1" applyFont="1" applyFill="1" applyBorder="1"/>
    <xf numFmtId="165" fontId="3" fillId="0" borderId="37" xfId="3" applyNumberFormat="1" applyFont="1" applyFill="1" applyBorder="1"/>
    <xf numFmtId="165" fontId="3" fillId="0" borderId="38" xfId="3" applyNumberFormat="1" applyFont="1" applyFill="1" applyBorder="1"/>
    <xf numFmtId="168" fontId="0" fillId="0" borderId="0" xfId="0" applyNumberFormat="1" applyAlignment="1">
      <alignment vertical="center"/>
    </xf>
    <xf numFmtId="168" fontId="0" fillId="0" borderId="0" xfId="0" applyNumberFormat="1"/>
    <xf numFmtId="0" fontId="2" fillId="0" borderId="1" xfId="0" applyFont="1" applyBorder="1" applyAlignment="1">
      <alignment vertical="center"/>
    </xf>
    <xf numFmtId="165" fontId="2" fillId="0" borderId="1" xfId="3" applyNumberFormat="1" applyFont="1" applyBorder="1" applyAlignment="1">
      <alignment vertical="center"/>
    </xf>
    <xf numFmtId="0" fontId="4" fillId="4" borderId="0" xfId="0" applyFont="1" applyFill="1" applyAlignment="1">
      <alignment horizontal="center" vertical="center"/>
    </xf>
    <xf numFmtId="3" fontId="3" fillId="0" borderId="48" xfId="0" applyNumberFormat="1" applyFont="1" applyBorder="1"/>
    <xf numFmtId="165" fontId="3" fillId="0" borderId="49" xfId="3" applyNumberFormat="1" applyFont="1" applyFill="1" applyBorder="1"/>
    <xf numFmtId="3" fontId="3" fillId="0" borderId="49" xfId="0" applyNumberFormat="1" applyFont="1" applyBorder="1"/>
    <xf numFmtId="165" fontId="3" fillId="0" borderId="50" xfId="3" applyNumberFormat="1" applyFont="1" applyFill="1" applyBorder="1"/>
    <xf numFmtId="166" fontId="0" fillId="0" borderId="0" xfId="1" applyNumberFormat="1" applyFont="1" applyFill="1" applyBorder="1" applyAlignment="1">
      <alignment vertical="center"/>
    </xf>
    <xf numFmtId="0" fontId="17" fillId="6" borderId="0" xfId="0" applyFont="1" applyFill="1" applyAlignment="1">
      <alignment horizontal="left" vertical="center"/>
    </xf>
    <xf numFmtId="3" fontId="19" fillId="0" borderId="53" xfId="0" applyNumberFormat="1" applyFont="1" applyBorder="1"/>
    <xf numFmtId="3" fontId="3" fillId="4" borderId="30" xfId="0" applyNumberFormat="1" applyFont="1" applyFill="1" applyBorder="1"/>
    <xf numFmtId="3" fontId="4" fillId="4" borderId="33" xfId="0" applyNumberFormat="1" applyFont="1" applyFill="1" applyBorder="1"/>
    <xf numFmtId="165" fontId="3" fillId="4" borderId="22" xfId="3" applyNumberFormat="1" applyFont="1" applyFill="1" applyBorder="1"/>
    <xf numFmtId="3" fontId="3" fillId="4" borderId="49" xfId="0" applyNumberFormat="1" applyFont="1" applyFill="1" applyBorder="1"/>
    <xf numFmtId="3" fontId="4" fillId="4" borderId="30" xfId="0" applyNumberFormat="1" applyFont="1" applyFill="1" applyBorder="1"/>
    <xf numFmtId="3" fontId="0" fillId="4" borderId="33" xfId="0" applyNumberFormat="1" applyFill="1" applyBorder="1"/>
    <xf numFmtId="3" fontId="0" fillId="4" borderId="34" xfId="0" applyNumberFormat="1" applyFill="1" applyBorder="1"/>
    <xf numFmtId="3" fontId="3" fillId="4" borderId="10" xfId="0" applyNumberFormat="1" applyFont="1" applyFill="1" applyBorder="1"/>
    <xf numFmtId="3" fontId="3" fillId="4" borderId="33" xfId="0" applyNumberFormat="1" applyFont="1" applyFill="1" applyBorder="1"/>
    <xf numFmtId="3" fontId="3" fillId="4" borderId="34" xfId="0" applyNumberFormat="1" applyFont="1" applyFill="1" applyBorder="1"/>
    <xf numFmtId="3" fontId="3" fillId="4" borderId="9" xfId="0" applyNumberFormat="1" applyFont="1" applyFill="1" applyBorder="1"/>
    <xf numFmtId="3" fontId="3" fillId="4" borderId="0" xfId="0" applyNumberFormat="1" applyFont="1" applyFill="1"/>
    <xf numFmtId="0" fontId="0" fillId="4" borderId="0" xfId="0" applyFill="1" applyAlignment="1">
      <alignment vertical="center"/>
    </xf>
    <xf numFmtId="3" fontId="3" fillId="4" borderId="14" xfId="0" applyNumberFormat="1" applyFont="1" applyFill="1" applyBorder="1"/>
    <xf numFmtId="3" fontId="20" fillId="7" borderId="54" xfId="0" applyNumberFormat="1" applyFont="1" applyFill="1" applyBorder="1"/>
    <xf numFmtId="3" fontId="20" fillId="7" borderId="51" xfId="0" applyNumberFormat="1" applyFont="1" applyFill="1" applyBorder="1"/>
    <xf numFmtId="3" fontId="18" fillId="7" borderId="51" xfId="0" applyNumberFormat="1" applyFont="1" applyFill="1" applyBorder="1"/>
    <xf numFmtId="3" fontId="18" fillId="7" borderId="52" xfId="0" applyNumberFormat="1" applyFont="1" applyFill="1" applyBorder="1"/>
    <xf numFmtId="3" fontId="0" fillId="4" borderId="10" xfId="0" applyNumberFormat="1" applyFill="1" applyBorder="1"/>
    <xf numFmtId="3" fontId="4" fillId="4" borderId="9" xfId="0" applyNumberFormat="1" applyFont="1" applyFill="1" applyBorder="1"/>
    <xf numFmtId="3" fontId="4" fillId="4" borderId="10" xfId="0" applyNumberFormat="1" applyFont="1" applyFill="1" applyBorder="1"/>
    <xf numFmtId="3" fontId="18" fillId="4" borderId="51" xfId="0" applyNumberFormat="1" applyFont="1" applyFill="1" applyBorder="1"/>
    <xf numFmtId="3" fontId="18" fillId="4" borderId="52" xfId="0" applyNumberFormat="1" applyFont="1" applyFill="1" applyBorder="1"/>
    <xf numFmtId="3" fontId="4" fillId="4" borderId="34" xfId="0" applyNumberFormat="1" applyFont="1" applyFill="1" applyBorder="1"/>
    <xf numFmtId="3" fontId="20" fillId="7" borderId="52" xfId="0" applyNumberFormat="1" applyFont="1" applyFill="1" applyBorder="1"/>
    <xf numFmtId="3" fontId="14" fillId="0" borderId="52" xfId="0" applyNumberFormat="1" applyFont="1" applyBorder="1"/>
    <xf numFmtId="0" fontId="3" fillId="4" borderId="0" xfId="0" applyFont="1" applyFill="1" applyAlignment="1">
      <alignment horizontal="left" vertical="center" indent="3" readingOrder="1"/>
    </xf>
    <xf numFmtId="0" fontId="3" fillId="4" borderId="16" xfId="0" applyFont="1" applyFill="1" applyBorder="1" applyAlignment="1">
      <alignment horizontal="left" vertical="center" indent="3" readingOrder="1"/>
    </xf>
    <xf numFmtId="0" fontId="3" fillId="4" borderId="40" xfId="0" applyFont="1" applyFill="1" applyBorder="1" applyAlignment="1">
      <alignment horizontal="left" vertical="center" indent="6" readingOrder="1"/>
    </xf>
    <xf numFmtId="165" fontId="0" fillId="4" borderId="0" xfId="0" applyNumberFormat="1" applyFill="1" applyAlignment="1">
      <alignment vertical="center"/>
    </xf>
    <xf numFmtId="10" fontId="0" fillId="0" borderId="0" xfId="1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3" fillId="4" borderId="55" xfId="0" applyFont="1" applyFill="1" applyBorder="1" applyAlignment="1">
      <alignment horizontal="left"/>
    </xf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2" fillId="3" borderId="55" xfId="0" applyFont="1" applyFill="1" applyBorder="1" applyAlignment="1">
      <alignment horizontal="left" vertical="center" wrapText="1"/>
    </xf>
    <xf numFmtId="0" fontId="24" fillId="3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0" fontId="23" fillId="0" borderId="56" xfId="0" applyFont="1" applyBorder="1" applyAlignment="1">
      <alignment horizontal="left"/>
    </xf>
    <xf numFmtId="3" fontId="22" fillId="0" borderId="0" xfId="0" applyNumberFormat="1" applyFont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3" fontId="22" fillId="0" borderId="30" xfId="0" applyNumberFormat="1" applyFont="1" applyBorder="1" applyAlignment="1">
      <alignment horizontal="center"/>
    </xf>
    <xf numFmtId="3" fontId="22" fillId="0" borderId="8" xfId="0" applyNumberFormat="1" applyFont="1" applyBorder="1" applyAlignment="1">
      <alignment horizontal="center"/>
    </xf>
    <xf numFmtId="3" fontId="22" fillId="0" borderId="25" xfId="0" applyNumberFormat="1" applyFont="1" applyBorder="1" applyAlignment="1">
      <alignment horizontal="center"/>
    </xf>
    <xf numFmtId="3" fontId="22" fillId="0" borderId="9" xfId="0" applyNumberFormat="1" applyFont="1" applyBorder="1" applyAlignment="1">
      <alignment horizontal="center"/>
    </xf>
    <xf numFmtId="0" fontId="24" fillId="0" borderId="57" xfId="0" applyFont="1" applyBorder="1" applyAlignment="1">
      <alignment horizontal="left"/>
    </xf>
    <xf numFmtId="3" fontId="24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3" fontId="24" fillId="0" borderId="30" xfId="0" applyNumberFormat="1" applyFont="1" applyBorder="1" applyAlignment="1">
      <alignment horizontal="center"/>
    </xf>
    <xf numFmtId="3" fontId="24" fillId="0" borderId="9" xfId="0" applyNumberFormat="1" applyFont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4" fillId="0" borderId="25" xfId="0" applyNumberFormat="1" applyFont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6" fillId="0" borderId="55" xfId="0" applyFont="1" applyBorder="1" applyAlignment="1">
      <alignment horizontal="left"/>
    </xf>
    <xf numFmtId="3" fontId="27" fillId="0" borderId="13" xfId="0" applyNumberFormat="1" applyFont="1" applyBorder="1" applyAlignment="1">
      <alignment horizontal="center"/>
    </xf>
    <xf numFmtId="3" fontId="27" fillId="0" borderId="0" xfId="0" applyNumberFormat="1" applyFont="1" applyAlignment="1">
      <alignment horizontal="center"/>
    </xf>
    <xf numFmtId="3" fontId="22" fillId="0" borderId="13" xfId="0" applyNumberFormat="1" applyFont="1" applyBorder="1" applyAlignment="1">
      <alignment horizontal="center"/>
    </xf>
    <xf numFmtId="3" fontId="22" fillId="0" borderId="0" xfId="0" applyNumberFormat="1" applyFont="1" applyAlignment="1">
      <alignment horizontal="center"/>
    </xf>
    <xf numFmtId="0" fontId="23" fillId="4" borderId="0" xfId="0" applyFont="1" applyFill="1"/>
    <xf numFmtId="0" fontId="24" fillId="0" borderId="0" xfId="0" applyFont="1"/>
    <xf numFmtId="0" fontId="22" fillId="0" borderId="56" xfId="0" applyFont="1" applyBorder="1"/>
    <xf numFmtId="0" fontId="22" fillId="0" borderId="55" xfId="0" applyFont="1" applyBorder="1"/>
    <xf numFmtId="0" fontId="24" fillId="0" borderId="57" xfId="0" applyFont="1" applyBorder="1"/>
    <xf numFmtId="0" fontId="22" fillId="0" borderId="57" xfId="0" applyFont="1" applyBorder="1"/>
    <xf numFmtId="0" fontId="22" fillId="0" borderId="58" xfId="0" applyFont="1" applyBorder="1"/>
    <xf numFmtId="0" fontId="22" fillId="0" borderId="55" xfId="0" quotePrefix="1" applyFont="1" applyBorder="1"/>
    <xf numFmtId="0" fontId="24" fillId="0" borderId="0" xfId="0" applyFont="1" applyAlignment="1">
      <alignment horizontal="center"/>
    </xf>
    <xf numFmtId="0" fontId="24" fillId="0" borderId="56" xfId="0" applyFont="1" applyBorder="1"/>
    <xf numFmtId="0" fontId="24" fillId="0" borderId="58" xfId="0" applyFont="1" applyBorder="1"/>
    <xf numFmtId="3" fontId="24" fillId="0" borderId="0" xfId="0" applyNumberFormat="1" applyFont="1" applyAlignment="1">
      <alignment horizontal="center"/>
    </xf>
    <xf numFmtId="0" fontId="24" fillId="0" borderId="55" xfId="0" applyFont="1" applyBorder="1"/>
    <xf numFmtId="164" fontId="24" fillId="0" borderId="55" xfId="0" applyNumberFormat="1" applyFont="1" applyBorder="1"/>
    <xf numFmtId="0" fontId="22" fillId="0" borderId="59" xfId="0" applyFont="1" applyBorder="1" applyAlignment="1">
      <alignment horizontal="left" vertical="center" readingOrder="1"/>
    </xf>
    <xf numFmtId="3" fontId="22" fillId="0" borderId="0" xfId="0" applyNumberFormat="1" applyFont="1"/>
    <xf numFmtId="0" fontId="22" fillId="0" borderId="55" xfId="0" applyFont="1" applyBorder="1" applyAlignment="1">
      <alignment horizontal="left" vertical="center" readingOrder="1"/>
    </xf>
    <xf numFmtId="0" fontId="22" fillId="0" borderId="60" xfId="0" applyFont="1" applyBorder="1" applyAlignment="1">
      <alignment horizontal="left" vertical="center" readingOrder="1"/>
    </xf>
    <xf numFmtId="0" fontId="24" fillId="0" borderId="60" xfId="0" applyFont="1" applyBorder="1" applyAlignment="1">
      <alignment horizontal="left" vertical="center" readingOrder="1"/>
    </xf>
    <xf numFmtId="0" fontId="24" fillId="0" borderId="55" xfId="0" applyFont="1" applyBorder="1" applyAlignment="1">
      <alignment horizontal="left" vertical="center" readingOrder="1"/>
    </xf>
    <xf numFmtId="0" fontId="22" fillId="0" borderId="61" xfId="0" applyFont="1" applyBorder="1" applyAlignment="1">
      <alignment horizontal="left" vertical="center" readingOrder="1"/>
    </xf>
    <xf numFmtId="0" fontId="22" fillId="0" borderId="57" xfId="0" applyFont="1" applyBorder="1" applyAlignment="1">
      <alignment horizontal="left" vertical="center" readingOrder="1"/>
    </xf>
    <xf numFmtId="0" fontId="24" fillId="4" borderId="60" xfId="0" applyFont="1" applyFill="1" applyBorder="1" applyAlignment="1">
      <alignment horizontal="left" vertical="center" readingOrder="1"/>
    </xf>
    <xf numFmtId="0" fontId="24" fillId="0" borderId="62" xfId="0" applyFont="1" applyBorder="1" applyAlignment="1">
      <alignment horizontal="left" vertical="center" readingOrder="1"/>
    </xf>
    <xf numFmtId="0" fontId="24" fillId="0" borderId="55" xfId="0" applyFont="1" applyBorder="1" applyAlignment="1">
      <alignment horizontal="left"/>
    </xf>
    <xf numFmtId="0" fontId="24" fillId="0" borderId="0" xfId="0" applyFont="1" applyAlignment="1">
      <alignment horizontal="left" vertical="center" readingOrder="1"/>
    </xf>
    <xf numFmtId="3" fontId="24" fillId="0" borderId="0" xfId="0" applyNumberFormat="1" applyFont="1"/>
    <xf numFmtId="0" fontId="24" fillId="0" borderId="0" xfId="0" applyFont="1" applyAlignment="1">
      <alignment vertical="center"/>
    </xf>
    <xf numFmtId="0" fontId="24" fillId="4" borderId="0" xfId="0" applyFont="1" applyFill="1" applyAlignment="1">
      <alignment horizontal="left" vertical="center" readingOrder="1"/>
    </xf>
    <xf numFmtId="3" fontId="24" fillId="4" borderId="14" xfId="0" applyNumberFormat="1" applyFont="1" applyFill="1" applyBorder="1"/>
    <xf numFmtId="3" fontId="24" fillId="4" borderId="0" xfId="0" applyNumberFormat="1" applyFont="1" applyFill="1"/>
    <xf numFmtId="0" fontId="24" fillId="0" borderId="0" xfId="0" applyFont="1" applyAlignment="1">
      <alignment horizontal="left"/>
    </xf>
    <xf numFmtId="1" fontId="24" fillId="0" borderId="0" xfId="0" applyNumberFormat="1" applyFont="1" applyAlignment="1">
      <alignment horizontal="center" vertical="center" wrapText="1"/>
    </xf>
    <xf numFmtId="3" fontId="22" fillId="0" borderId="0" xfId="0" applyNumberFormat="1" applyFont="1" applyAlignment="1">
      <alignment horizontal="center" vertical="center"/>
    </xf>
    <xf numFmtId="0" fontId="28" fillId="0" borderId="56" xfId="0" applyFont="1" applyBorder="1" applyAlignment="1">
      <alignment horizontal="left"/>
    </xf>
    <xf numFmtId="3" fontId="25" fillId="0" borderId="0" xfId="0" applyNumberFormat="1" applyFont="1"/>
    <xf numFmtId="0" fontId="24" fillId="0" borderId="64" xfId="0" applyFont="1" applyBorder="1"/>
    <xf numFmtId="0" fontId="24" fillId="0" borderId="65" xfId="0" applyFont="1" applyBorder="1"/>
    <xf numFmtId="1" fontId="25" fillId="0" borderId="0" xfId="0" applyNumberFormat="1" applyFont="1"/>
    <xf numFmtId="1" fontId="24" fillId="0" borderId="0" xfId="0" applyNumberFormat="1" applyFont="1"/>
    <xf numFmtId="1" fontId="24" fillId="0" borderId="0" xfId="0" applyNumberFormat="1" applyFont="1" applyAlignment="1">
      <alignment horizontal="center"/>
    </xf>
    <xf numFmtId="0" fontId="23" fillId="0" borderId="2" xfId="0" applyFont="1" applyBorder="1" applyAlignment="1">
      <alignment vertical="center"/>
    </xf>
    <xf numFmtId="3" fontId="24" fillId="0" borderId="73" xfId="0" applyNumberFormat="1" applyFont="1" applyBorder="1" applyAlignment="1">
      <alignment horizontal="center"/>
    </xf>
    <xf numFmtId="3" fontId="24" fillId="0" borderId="74" xfId="0" applyNumberFormat="1" applyFont="1" applyBorder="1" applyAlignment="1">
      <alignment horizontal="center"/>
    </xf>
    <xf numFmtId="3" fontId="22" fillId="0" borderId="72" xfId="0" applyNumberFormat="1" applyFont="1" applyBorder="1" applyAlignment="1">
      <alignment horizontal="center" vertical="center" readingOrder="1"/>
    </xf>
    <xf numFmtId="0" fontId="22" fillId="0" borderId="66" xfId="0" applyFont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24" fillId="0" borderId="75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3" fontId="24" fillId="0" borderId="67" xfId="0" applyNumberFormat="1" applyFont="1" applyBorder="1" applyAlignment="1">
      <alignment horizontal="left" vertical="center" indent="3" readingOrder="1"/>
    </xf>
    <xf numFmtId="0" fontId="24" fillId="0" borderId="66" xfId="0" applyFont="1" applyBorder="1" applyAlignment="1">
      <alignment vertical="center" readingOrder="1"/>
    </xf>
    <xf numFmtId="0" fontId="24" fillId="0" borderId="69" xfId="0" applyFont="1" applyBorder="1" applyAlignment="1">
      <alignment vertical="center" readingOrder="1"/>
    </xf>
    <xf numFmtId="0" fontId="22" fillId="0" borderId="71" xfId="0" applyFont="1" applyBorder="1" applyAlignment="1">
      <alignment vertical="center" readingOrder="1"/>
    </xf>
    <xf numFmtId="0" fontId="31" fillId="0" borderId="71" xfId="0" applyFont="1" applyBorder="1" applyAlignment="1">
      <alignment vertical="center" readingOrder="1"/>
    </xf>
    <xf numFmtId="1" fontId="24" fillId="0" borderId="67" xfId="0" applyNumberFormat="1" applyFont="1" applyBorder="1" applyAlignment="1">
      <alignment horizontal="left" vertical="center" indent="3" readingOrder="1"/>
    </xf>
    <xf numFmtId="3" fontId="24" fillId="0" borderId="70" xfId="0" applyNumberFormat="1" applyFont="1" applyBorder="1" applyAlignment="1">
      <alignment horizontal="left" vertical="center" indent="3" readingOrder="1"/>
    </xf>
    <xf numFmtId="3" fontId="31" fillId="0" borderId="72" xfId="0" applyNumberFormat="1" applyFont="1" applyBorder="1" applyAlignment="1">
      <alignment horizontal="center" vertical="center" readingOrder="1"/>
    </xf>
    <xf numFmtId="3" fontId="24" fillId="0" borderId="67" xfId="0" applyNumberFormat="1" applyFont="1" applyBorder="1" applyAlignment="1">
      <alignment horizontal="center" vertical="center" readingOrder="1"/>
    </xf>
    <xf numFmtId="1" fontId="24" fillId="0" borderId="67" xfId="0" applyNumberFormat="1" applyFont="1" applyBorder="1" applyAlignment="1">
      <alignment horizontal="center" vertical="center" readingOrder="1"/>
    </xf>
    <xf numFmtId="3" fontId="24" fillId="0" borderId="70" xfId="0" applyNumberFormat="1" applyFont="1" applyBorder="1" applyAlignment="1">
      <alignment horizontal="center" vertical="center" readingOrder="1"/>
    </xf>
    <xf numFmtId="1" fontId="24" fillId="0" borderId="70" xfId="0" applyNumberFormat="1" applyFont="1" applyBorder="1" applyAlignment="1">
      <alignment horizontal="left" vertical="center" indent="3" readingOrder="1"/>
    </xf>
    <xf numFmtId="0" fontId="27" fillId="0" borderId="71" xfId="0" applyFont="1" applyBorder="1" applyAlignment="1">
      <alignment vertical="center" readingOrder="1"/>
    </xf>
    <xf numFmtId="1" fontId="31" fillId="0" borderId="72" xfId="0" applyNumberFormat="1" applyFont="1" applyBorder="1" applyAlignment="1">
      <alignment horizontal="left" vertical="center" indent="3" readingOrder="1"/>
    </xf>
    <xf numFmtId="0" fontId="22" fillId="0" borderId="67" xfId="0" applyFont="1" applyBorder="1" applyAlignment="1">
      <alignment horizontal="left" vertical="center" indent="3" readingOrder="1"/>
    </xf>
    <xf numFmtId="169" fontId="24" fillId="0" borderId="68" xfId="0" applyNumberFormat="1" applyFont="1" applyBorder="1" applyAlignment="1">
      <alignment horizontal="left" vertical="center" indent="3" readingOrder="1"/>
    </xf>
    <xf numFmtId="0" fontId="31" fillId="0" borderId="76" xfId="0" applyFont="1" applyBorder="1" applyAlignment="1">
      <alignment vertical="center"/>
    </xf>
    <xf numFmtId="1" fontId="31" fillId="0" borderId="77" xfId="0" applyNumberFormat="1" applyFont="1" applyBorder="1" applyAlignment="1">
      <alignment horizontal="left" vertical="center" indent="3" readingOrder="1"/>
    </xf>
    <xf numFmtId="0" fontId="30" fillId="0" borderId="71" xfId="0" applyFont="1" applyBorder="1" applyAlignment="1">
      <alignment vertical="center"/>
    </xf>
    <xf numFmtId="0" fontId="24" fillId="0" borderId="67" xfId="0" applyFont="1" applyBorder="1" applyAlignment="1">
      <alignment vertical="center" wrapText="1"/>
    </xf>
    <xf numFmtId="0" fontId="22" fillId="0" borderId="66" xfId="0" applyFont="1" applyBorder="1" applyAlignment="1">
      <alignment vertical="center" wrapText="1"/>
    </xf>
    <xf numFmtId="3" fontId="24" fillId="0" borderId="67" xfId="0" applyNumberFormat="1" applyFont="1" applyBorder="1" applyAlignment="1">
      <alignment vertical="center" wrapText="1"/>
    </xf>
    <xf numFmtId="0" fontId="24" fillId="0" borderId="0" xfId="0" applyFont="1" applyAlignment="1">
      <alignment wrapText="1"/>
    </xf>
    <xf numFmtId="169" fontId="24" fillId="0" borderId="67" xfId="1" applyNumberFormat="1" applyFont="1" applyBorder="1" applyAlignment="1">
      <alignment vertical="center" wrapText="1" readingOrder="1"/>
    </xf>
    <xf numFmtId="0" fontId="24" fillId="0" borderId="67" xfId="0" applyFont="1" applyBorder="1" applyAlignment="1">
      <alignment vertical="center" wrapText="1" readingOrder="1"/>
    </xf>
    <xf numFmtId="169" fontId="24" fillId="0" borderId="68" xfId="1" applyNumberFormat="1" applyFont="1" applyBorder="1" applyAlignment="1">
      <alignment vertical="center" wrapText="1" readingOrder="1"/>
    </xf>
    <xf numFmtId="3" fontId="0" fillId="4" borderId="8" xfId="0" applyNumberFormat="1" applyFill="1" applyBorder="1"/>
    <xf numFmtId="3" fontId="0" fillId="4" borderId="25" xfId="0" applyNumberFormat="1" applyFill="1" applyBorder="1"/>
    <xf numFmtId="0" fontId="24" fillId="4" borderId="79" xfId="0" applyFont="1" applyFill="1" applyBorder="1" applyAlignment="1">
      <alignment horizontal="left" vertical="center" readingOrder="1"/>
    </xf>
    <xf numFmtId="169" fontId="24" fillId="0" borderId="0" xfId="0" applyNumberFormat="1" applyFont="1"/>
    <xf numFmtId="0" fontId="23" fillId="0" borderId="66" xfId="0" applyFont="1" applyBorder="1" applyAlignment="1">
      <alignment vertical="center"/>
    </xf>
    <xf numFmtId="0" fontId="23" fillId="0" borderId="71" xfId="0" applyFont="1" applyBorder="1" applyAlignment="1">
      <alignment vertical="center"/>
    </xf>
    <xf numFmtId="1" fontId="24" fillId="0" borderId="0" xfId="0" applyNumberFormat="1" applyFont="1" applyAlignment="1">
      <alignment horizontal="left" indent="3"/>
    </xf>
    <xf numFmtId="169" fontId="23" fillId="0" borderId="71" xfId="0" applyNumberFormat="1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169" fontId="24" fillId="0" borderId="0" xfId="0" applyNumberFormat="1" applyFont="1" applyAlignment="1">
      <alignment horizontal="right"/>
    </xf>
    <xf numFmtId="3" fontId="22" fillId="0" borderId="80" xfId="0" applyNumberFormat="1" applyFont="1" applyBorder="1"/>
    <xf numFmtId="3" fontId="22" fillId="0" borderId="1" xfId="0" applyNumberFormat="1" applyFont="1" applyBorder="1"/>
    <xf numFmtId="0" fontId="22" fillId="3" borderId="81" xfId="0" applyFont="1" applyFill="1" applyBorder="1" applyAlignment="1">
      <alignment horizontal="center" vertical="center" wrapText="1"/>
    </xf>
    <xf numFmtId="0" fontId="22" fillId="5" borderId="81" xfId="0" applyFont="1" applyFill="1" applyBorder="1" applyAlignment="1">
      <alignment horizontal="center" vertical="center" wrapText="1"/>
    </xf>
    <xf numFmtId="0" fontId="22" fillId="0" borderId="81" xfId="0" applyFont="1" applyBorder="1" applyAlignment="1">
      <alignment vertical="center"/>
    </xf>
    <xf numFmtId="0" fontId="24" fillId="0" borderId="84" xfId="0" applyFont="1" applyBorder="1" applyAlignment="1">
      <alignment vertical="center"/>
    </xf>
    <xf numFmtId="0" fontId="24" fillId="0" borderId="84" xfId="0" applyFont="1" applyBorder="1"/>
    <xf numFmtId="0" fontId="24" fillId="0" borderId="81" xfId="0" applyFont="1" applyBorder="1" applyAlignment="1">
      <alignment vertical="center"/>
    </xf>
    <xf numFmtId="165" fontId="24" fillId="0" borderId="81" xfId="0" applyNumberFormat="1" applyFont="1" applyBorder="1" applyAlignment="1">
      <alignment vertical="center"/>
    </xf>
    <xf numFmtId="0" fontId="24" fillId="0" borderId="81" xfId="0" applyFont="1" applyBorder="1"/>
    <xf numFmtId="0" fontId="28" fillId="0" borderId="81" xfId="0" applyFont="1" applyBorder="1" applyAlignment="1">
      <alignment vertical="center"/>
    </xf>
    <xf numFmtId="0" fontId="24" fillId="0" borderId="82" xfId="0" applyFont="1" applyBorder="1" applyAlignment="1">
      <alignment vertical="center" wrapText="1"/>
    </xf>
    <xf numFmtId="0" fontId="24" fillId="0" borderId="81" xfId="0" applyFont="1" applyBorder="1" applyAlignment="1">
      <alignment vertical="center" wrapText="1"/>
    </xf>
    <xf numFmtId="170" fontId="24" fillId="0" borderId="81" xfId="0" applyNumberFormat="1" applyFont="1" applyBorder="1"/>
    <xf numFmtId="165" fontId="24" fillId="0" borderId="81" xfId="3" applyNumberFormat="1" applyFont="1" applyBorder="1"/>
    <xf numFmtId="2" fontId="24" fillId="0" borderId="81" xfId="0" applyNumberFormat="1" applyFont="1" applyBorder="1"/>
    <xf numFmtId="2" fontId="24" fillId="0" borderId="81" xfId="0" applyNumberFormat="1" applyFont="1" applyBorder="1" applyAlignment="1">
      <alignment vertical="center"/>
    </xf>
    <xf numFmtId="10" fontId="24" fillId="0" borderId="0" xfId="3" applyNumberFormat="1" applyFont="1"/>
    <xf numFmtId="2" fontId="24" fillId="0" borderId="0" xfId="0" applyNumberFormat="1" applyFont="1"/>
    <xf numFmtId="170" fontId="24" fillId="0" borderId="0" xfId="0" applyNumberFormat="1" applyFont="1"/>
    <xf numFmtId="3" fontId="24" fillId="0" borderId="90" xfId="0" applyNumberFormat="1" applyFont="1" applyBorder="1"/>
    <xf numFmtId="0" fontId="24" fillId="0" borderId="90" xfId="0" applyFont="1" applyBorder="1"/>
    <xf numFmtId="0" fontId="23" fillId="0" borderId="25" xfId="0" applyFont="1" applyBorder="1" applyAlignment="1">
      <alignment horizontal="left"/>
    </xf>
    <xf numFmtId="0" fontId="24" fillId="0" borderId="26" xfId="0" applyFont="1" applyBorder="1" applyAlignment="1">
      <alignment horizontal="left"/>
    </xf>
    <xf numFmtId="0" fontId="28" fillId="0" borderId="25" xfId="0" applyFont="1" applyBorder="1" applyAlignment="1">
      <alignment horizontal="left"/>
    </xf>
    <xf numFmtId="0" fontId="24" fillId="0" borderId="27" xfId="0" applyFont="1" applyBorder="1"/>
    <xf numFmtId="0" fontId="2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3" fontId="22" fillId="0" borderId="90" xfId="0" applyNumberFormat="1" applyFont="1" applyBorder="1" applyAlignment="1">
      <alignment horizontal="center"/>
    </xf>
    <xf numFmtId="3" fontId="23" fillId="0" borderId="90" xfId="0" applyNumberFormat="1" applyFont="1" applyBorder="1" applyAlignment="1">
      <alignment horizontal="center" vertical="center" wrapText="1"/>
    </xf>
    <xf numFmtId="3" fontId="24" fillId="0" borderId="90" xfId="0" applyNumberFormat="1" applyFont="1" applyBorder="1" applyAlignment="1">
      <alignment horizontal="center"/>
    </xf>
    <xf numFmtId="3" fontId="28" fillId="0" borderId="90" xfId="0" applyNumberFormat="1" applyFont="1" applyBorder="1" applyAlignment="1">
      <alignment horizontal="center" vertical="center" wrapText="1"/>
    </xf>
    <xf numFmtId="1" fontId="28" fillId="0" borderId="90" xfId="0" applyNumberFormat="1" applyFont="1" applyBorder="1" applyAlignment="1">
      <alignment horizontal="center" vertical="center" wrapText="1"/>
    </xf>
    <xf numFmtId="3" fontId="23" fillId="0" borderId="90" xfId="0" applyNumberFormat="1" applyFont="1" applyBorder="1" applyAlignment="1">
      <alignment horizontal="center"/>
    </xf>
    <xf numFmtId="1" fontId="28" fillId="0" borderId="90" xfId="0" applyNumberFormat="1" applyFont="1" applyBorder="1" applyAlignment="1">
      <alignment horizontal="center"/>
    </xf>
    <xf numFmtId="3" fontId="27" fillId="0" borderId="90" xfId="0" applyNumberFormat="1" applyFont="1" applyBorder="1" applyAlignment="1">
      <alignment horizontal="center"/>
    </xf>
    <xf numFmtId="0" fontId="22" fillId="3" borderId="0" xfId="0" applyFont="1" applyFill="1" applyAlignment="1">
      <alignment horizontal="left" vertical="center" wrapText="1"/>
    </xf>
    <xf numFmtId="0" fontId="22" fillId="3" borderId="93" xfId="0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vertical="center" wrapText="1"/>
    </xf>
    <xf numFmtId="3" fontId="22" fillId="0" borderId="94" xfId="0" applyNumberFormat="1" applyFont="1" applyBorder="1" applyAlignment="1">
      <alignment horizontal="center"/>
    </xf>
    <xf numFmtId="3" fontId="24" fillId="0" borderId="94" xfId="0" applyNumberFormat="1" applyFont="1" applyBorder="1" applyAlignment="1">
      <alignment horizontal="center"/>
    </xf>
    <xf numFmtId="0" fontId="24" fillId="0" borderId="94" xfId="0" applyFont="1" applyBorder="1"/>
    <xf numFmtId="3" fontId="27" fillId="0" borderId="94" xfId="0" applyNumberFormat="1" applyFont="1" applyBorder="1" applyAlignment="1">
      <alignment horizontal="center"/>
    </xf>
    <xf numFmtId="3" fontId="22" fillId="0" borderId="96" xfId="0" applyNumberFormat="1" applyFont="1" applyBorder="1" applyAlignment="1">
      <alignment horizontal="center"/>
    </xf>
    <xf numFmtId="3" fontId="22" fillId="0" borderId="97" xfId="0" applyNumberFormat="1" applyFont="1" applyBorder="1" applyAlignment="1">
      <alignment horizontal="center"/>
    </xf>
    <xf numFmtId="3" fontId="24" fillId="0" borderId="97" xfId="0" applyNumberFormat="1" applyFont="1" applyBorder="1"/>
    <xf numFmtId="3" fontId="22" fillId="0" borderId="99" xfId="0" applyNumberFormat="1" applyFont="1" applyBorder="1" applyAlignment="1">
      <alignment horizontal="center"/>
    </xf>
    <xf numFmtId="3" fontId="22" fillId="0" borderId="100" xfId="0" applyNumberFormat="1" applyFont="1" applyBorder="1" applyAlignment="1">
      <alignment horizontal="center"/>
    </xf>
    <xf numFmtId="3" fontId="23" fillId="0" borderId="94" xfId="0" applyNumberFormat="1" applyFont="1" applyBorder="1" applyAlignment="1">
      <alignment horizontal="center" vertical="center" wrapText="1"/>
    </xf>
    <xf numFmtId="3" fontId="28" fillId="0" borderId="94" xfId="0" applyNumberFormat="1" applyFont="1" applyBorder="1" applyAlignment="1">
      <alignment horizontal="center" vertical="center" wrapText="1"/>
    </xf>
    <xf numFmtId="3" fontId="23" fillId="0" borderId="94" xfId="0" applyNumberFormat="1" applyFont="1" applyBorder="1" applyAlignment="1">
      <alignment horizontal="center"/>
    </xf>
    <xf numFmtId="1" fontId="28" fillId="0" borderId="94" xfId="0" applyNumberFormat="1" applyFont="1" applyBorder="1" applyAlignment="1">
      <alignment horizontal="center"/>
    </xf>
    <xf numFmtId="3" fontId="23" fillId="0" borderId="96" xfId="0" applyNumberFormat="1" applyFont="1" applyBorder="1" applyAlignment="1">
      <alignment horizontal="center" vertical="center" wrapText="1"/>
    </xf>
    <xf numFmtId="3" fontId="23" fillId="0" borderId="97" xfId="0" applyNumberFormat="1" applyFont="1" applyBorder="1" applyAlignment="1">
      <alignment horizontal="center" vertical="center" wrapText="1"/>
    </xf>
    <xf numFmtId="165" fontId="24" fillId="0" borderId="95" xfId="3" applyNumberFormat="1" applyFont="1" applyBorder="1"/>
    <xf numFmtId="165" fontId="24" fillId="0" borderId="98" xfId="3" applyNumberFormat="1" applyFont="1" applyBorder="1"/>
    <xf numFmtId="3" fontId="24" fillId="0" borderId="101" xfId="0" applyNumberFormat="1" applyFont="1" applyBorder="1"/>
    <xf numFmtId="165" fontId="24" fillId="0" borderId="102" xfId="3" applyNumberFormat="1" applyFont="1" applyBorder="1"/>
    <xf numFmtId="3" fontId="22" fillId="0" borderId="103" xfId="0" applyNumberFormat="1" applyFont="1" applyBorder="1" applyAlignment="1">
      <alignment horizontal="center"/>
    </xf>
    <xf numFmtId="3" fontId="22" fillId="0" borderId="104" xfId="0" applyNumberFormat="1" applyFont="1" applyBorder="1" applyAlignment="1">
      <alignment horizontal="center"/>
    </xf>
    <xf numFmtId="3" fontId="24" fillId="0" borderId="104" xfId="0" applyNumberFormat="1" applyFont="1" applyBorder="1"/>
    <xf numFmtId="165" fontId="24" fillId="0" borderId="105" xfId="3" applyNumberFormat="1" applyFont="1" applyBorder="1"/>
    <xf numFmtId="3" fontId="23" fillId="0" borderId="103" xfId="0" applyNumberFormat="1" applyFont="1" applyBorder="1" applyAlignment="1">
      <alignment horizontal="center" vertical="center" wrapText="1"/>
    </xf>
    <xf numFmtId="3" fontId="23" fillId="0" borderId="104" xfId="0" applyNumberFormat="1" applyFont="1" applyBorder="1" applyAlignment="1">
      <alignment horizontal="center" vertical="center" wrapText="1"/>
    </xf>
    <xf numFmtId="0" fontId="22" fillId="3" borderId="55" xfId="0" applyFont="1" applyFill="1" applyBorder="1" applyAlignment="1">
      <alignment horizontal="center" vertical="center" wrapText="1"/>
    </xf>
    <xf numFmtId="10" fontId="22" fillId="0" borderId="94" xfId="3" applyNumberFormat="1" applyFont="1" applyBorder="1"/>
    <xf numFmtId="10" fontId="22" fillId="0" borderId="90" xfId="3" applyNumberFormat="1" applyFont="1" applyBorder="1"/>
    <xf numFmtId="0" fontId="22" fillId="0" borderId="0" xfId="0" applyFont="1"/>
    <xf numFmtId="9" fontId="24" fillId="0" borderId="0" xfId="0" applyNumberFormat="1" applyFont="1"/>
    <xf numFmtId="0" fontId="22" fillId="3" borderId="63" xfId="0" applyFont="1" applyFill="1" applyBorder="1" applyAlignment="1">
      <alignment horizontal="center" vertical="center" wrapText="1"/>
    </xf>
    <xf numFmtId="0" fontId="22" fillId="3" borderId="24" xfId="0" applyFont="1" applyFill="1" applyBorder="1" applyAlignment="1">
      <alignment horizontal="center" vertical="center" wrapText="1"/>
    </xf>
    <xf numFmtId="0" fontId="22" fillId="3" borderId="92" xfId="0" applyFont="1" applyFill="1" applyBorder="1" applyAlignment="1">
      <alignment horizontal="center" vertical="center" wrapText="1"/>
    </xf>
    <xf numFmtId="10" fontId="24" fillId="0" borderId="95" xfId="3" applyNumberFormat="1" applyFont="1" applyBorder="1"/>
    <xf numFmtId="10" fontId="24" fillId="0" borderId="98" xfId="3" applyNumberFormat="1" applyFont="1" applyBorder="1"/>
    <xf numFmtId="3" fontId="24" fillId="0" borderId="67" xfId="0" applyNumberFormat="1" applyFont="1" applyBorder="1" applyAlignment="1">
      <alignment vertical="center" readingOrder="1"/>
    </xf>
    <xf numFmtId="3" fontId="24" fillId="0" borderId="39" xfId="0" applyNumberFormat="1" applyFont="1" applyBorder="1" applyAlignment="1">
      <alignment vertical="center" readingOrder="1"/>
    </xf>
    <xf numFmtId="169" fontId="31" fillId="0" borderId="78" xfId="0" applyNumberFormat="1" applyFont="1" applyBorder="1" applyAlignment="1">
      <alignment vertical="center" readingOrder="1"/>
    </xf>
    <xf numFmtId="10" fontId="22" fillId="0" borderId="91" xfId="3" applyNumberFormat="1" applyFont="1" applyBorder="1"/>
    <xf numFmtId="0" fontId="32" fillId="0" borderId="0" xfId="0" applyFont="1" applyAlignment="1">
      <alignment horizontal="center" vertical="center" wrapText="1"/>
    </xf>
    <xf numFmtId="3" fontId="32" fillId="0" borderId="0" xfId="0" applyNumberFormat="1" applyFont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/>
    </xf>
    <xf numFmtId="1" fontId="33" fillId="0" borderId="0" xfId="0" applyNumberFormat="1" applyFont="1" applyAlignment="1">
      <alignment horizontal="center"/>
    </xf>
    <xf numFmtId="0" fontId="34" fillId="0" borderId="0" xfId="0" applyFont="1"/>
    <xf numFmtId="3" fontId="22" fillId="0" borderId="32" xfId="0" applyNumberFormat="1" applyFont="1" applyBorder="1" applyAlignment="1">
      <alignment horizontal="center"/>
    </xf>
    <xf numFmtId="3" fontId="22" fillId="0" borderId="14" xfId="0" applyNumberFormat="1" applyFont="1" applyBorder="1" applyAlignment="1">
      <alignment horizontal="center"/>
    </xf>
    <xf numFmtId="0" fontId="33" fillId="0" borderId="57" xfId="0" applyFont="1" applyBorder="1" applyAlignment="1">
      <alignment horizontal="left"/>
    </xf>
    <xf numFmtId="3" fontId="33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3" fontId="33" fillId="0" borderId="30" xfId="0" applyNumberFormat="1" applyFont="1" applyBorder="1" applyAlignment="1">
      <alignment horizontal="center"/>
    </xf>
    <xf numFmtId="3" fontId="33" fillId="0" borderId="8" xfId="0" applyNumberFormat="1" applyFont="1" applyBorder="1" applyAlignment="1">
      <alignment horizontal="center"/>
    </xf>
    <xf numFmtId="3" fontId="33" fillId="0" borderId="9" xfId="0" applyNumberFormat="1" applyFont="1" applyBorder="1" applyAlignment="1">
      <alignment horizontal="center"/>
    </xf>
    <xf numFmtId="3" fontId="33" fillId="0" borderId="25" xfId="0" applyNumberFormat="1" applyFont="1" applyBorder="1" applyAlignment="1">
      <alignment horizontal="center"/>
    </xf>
    <xf numFmtId="1" fontId="33" fillId="0" borderId="0" xfId="0" applyNumberFormat="1" applyFont="1" applyAlignment="1">
      <alignment horizontal="center" vertical="center" wrapText="1"/>
    </xf>
    <xf numFmtId="0" fontId="32" fillId="0" borderId="56" xfId="0" applyFont="1" applyBorder="1" applyAlignment="1">
      <alignment horizontal="left"/>
    </xf>
    <xf numFmtId="3" fontId="32" fillId="0" borderId="0" xfId="0" applyNumberFormat="1" applyFont="1" applyAlignment="1">
      <alignment horizontal="center" vertical="center" wrapText="1"/>
    </xf>
    <xf numFmtId="3" fontId="32" fillId="0" borderId="30" xfId="0" applyNumberFormat="1" applyFont="1" applyBorder="1" applyAlignment="1">
      <alignment horizontal="center"/>
    </xf>
    <xf numFmtId="3" fontId="32" fillId="0" borderId="8" xfId="0" applyNumberFormat="1" applyFont="1" applyBorder="1" applyAlignment="1">
      <alignment horizontal="center"/>
    </xf>
    <xf numFmtId="3" fontId="32" fillId="0" borderId="9" xfId="0" applyNumberFormat="1" applyFont="1" applyBorder="1" applyAlignment="1">
      <alignment horizontal="center"/>
    </xf>
    <xf numFmtId="3" fontId="32" fillId="0" borderId="25" xfId="0" applyNumberFormat="1" applyFont="1" applyBorder="1" applyAlignment="1">
      <alignment horizontal="center"/>
    </xf>
    <xf numFmtId="0" fontId="33" fillId="0" borderId="56" xfId="0" applyFont="1" applyBorder="1" applyAlignment="1">
      <alignment horizontal="left"/>
    </xf>
    <xf numFmtId="0" fontId="33" fillId="0" borderId="64" xfId="0" applyFont="1" applyBorder="1"/>
    <xf numFmtId="0" fontId="33" fillId="0" borderId="0" xfId="0" applyFont="1"/>
    <xf numFmtId="3" fontId="33" fillId="0" borderId="0" xfId="0" applyNumberFormat="1" applyFont="1"/>
    <xf numFmtId="0" fontId="33" fillId="0" borderId="65" xfId="0" applyFont="1" applyBorder="1"/>
    <xf numFmtId="0" fontId="33" fillId="0" borderId="0" xfId="0" applyFont="1" applyAlignment="1">
      <alignment horizontal="center"/>
    </xf>
    <xf numFmtId="0" fontId="35" fillId="0" borderId="55" xfId="0" applyFont="1" applyBorder="1" applyAlignment="1">
      <alignment horizontal="left"/>
    </xf>
    <xf numFmtId="3" fontId="35" fillId="0" borderId="32" xfId="0" applyNumberFormat="1" applyFont="1" applyBorder="1" applyAlignment="1">
      <alignment horizontal="center"/>
    </xf>
    <xf numFmtId="3" fontId="35" fillId="0" borderId="14" xfId="0" applyNumberFormat="1" applyFont="1" applyBorder="1" applyAlignment="1">
      <alignment horizontal="center"/>
    </xf>
    <xf numFmtId="3" fontId="35" fillId="0" borderId="13" xfId="0" applyNumberFormat="1" applyFont="1" applyBorder="1" applyAlignment="1">
      <alignment horizontal="center"/>
    </xf>
    <xf numFmtId="3" fontId="35" fillId="0" borderId="53" xfId="0" applyNumberFormat="1" applyFont="1" applyBorder="1" applyAlignment="1">
      <alignment horizontal="center"/>
    </xf>
    <xf numFmtId="3" fontId="35" fillId="0" borderId="0" xfId="0" applyNumberFormat="1" applyFont="1" applyAlignment="1">
      <alignment horizontal="center"/>
    </xf>
    <xf numFmtId="166" fontId="25" fillId="0" borderId="0" xfId="1" applyNumberFormat="1" applyFont="1"/>
    <xf numFmtId="166" fontId="24" fillId="0" borderId="0" xfId="1" applyNumberFormat="1" applyFont="1"/>
    <xf numFmtId="0" fontId="36" fillId="0" borderId="0" xfId="0" applyFont="1"/>
    <xf numFmtId="165" fontId="24" fillId="0" borderId="0" xfId="0" applyNumberFormat="1" applyFont="1"/>
    <xf numFmtId="0" fontId="13" fillId="0" borderId="16" xfId="0" applyFont="1" applyBorder="1" applyAlignment="1">
      <alignment horizontal="left" vertical="center" indent="2" readingOrder="1"/>
    </xf>
    <xf numFmtId="165" fontId="24" fillId="0" borderId="81" xfId="3" applyNumberFormat="1" applyFont="1" applyFill="1" applyBorder="1"/>
    <xf numFmtId="166" fontId="25" fillId="0" borderId="0" xfId="1" applyNumberFormat="1" applyFont="1" applyFill="1"/>
    <xf numFmtId="166" fontId="24" fillId="0" borderId="0" xfId="0" applyNumberFormat="1" applyFont="1"/>
    <xf numFmtId="0" fontId="37" fillId="0" borderId="0" xfId="0" applyFont="1"/>
    <xf numFmtId="0" fontId="38" fillId="0" borderId="55" xfId="0" applyFont="1" applyBorder="1"/>
    <xf numFmtId="166" fontId="37" fillId="0" borderId="0" xfId="1" applyNumberFormat="1" applyFont="1"/>
    <xf numFmtId="0" fontId="22" fillId="2" borderId="24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3" fontId="2" fillId="0" borderId="0" xfId="1" applyNumberFormat="1" applyFont="1" applyFill="1" applyBorder="1" applyAlignment="1">
      <alignment vertical="center"/>
    </xf>
    <xf numFmtId="0" fontId="4" fillId="2" borderId="24" xfId="0" applyFont="1" applyFill="1" applyBorder="1" applyAlignment="1">
      <alignment horizontal="center" vertical="center" wrapText="1"/>
    </xf>
    <xf numFmtId="0" fontId="22" fillId="2" borderId="63" xfId="0" applyFont="1" applyFill="1" applyBorder="1" applyAlignment="1">
      <alignment horizontal="center" vertical="center" wrapText="1"/>
    </xf>
    <xf numFmtId="0" fontId="22" fillId="2" borderId="24" xfId="0" applyFont="1" applyFill="1" applyBorder="1" applyAlignment="1">
      <alignment horizontal="center" vertical="center" wrapText="1"/>
    </xf>
    <xf numFmtId="0" fontId="22" fillId="2" borderId="85" xfId="0" applyFont="1" applyFill="1" applyBorder="1" applyAlignment="1">
      <alignment horizontal="center" vertical="center" wrapText="1"/>
    </xf>
    <xf numFmtId="0" fontId="22" fillId="2" borderId="86" xfId="0" applyFont="1" applyFill="1" applyBorder="1" applyAlignment="1">
      <alignment horizontal="center" vertical="center" wrapText="1"/>
    </xf>
    <xf numFmtId="0" fontId="22" fillId="2" borderId="87" xfId="0" applyFont="1" applyFill="1" applyBorder="1" applyAlignment="1">
      <alignment horizontal="center" vertical="center" wrapText="1"/>
    </xf>
    <xf numFmtId="0" fontId="23" fillId="2" borderId="83" xfId="0" applyFont="1" applyFill="1" applyBorder="1" applyAlignment="1">
      <alignment horizontal="center" vertical="center"/>
    </xf>
    <xf numFmtId="0" fontId="23" fillId="2" borderId="84" xfId="0" applyFont="1" applyFill="1" applyBorder="1" applyAlignment="1">
      <alignment horizontal="center" vertical="center"/>
    </xf>
    <xf numFmtId="170" fontId="24" fillId="0" borderId="88" xfId="0" applyNumberFormat="1" applyFont="1" applyBorder="1" applyAlignment="1">
      <alignment horizontal="center"/>
    </xf>
    <xf numFmtId="170" fontId="24" fillId="0" borderId="89" xfId="0" applyNumberFormat="1" applyFont="1" applyBorder="1" applyAlignment="1">
      <alignment horizontal="center"/>
    </xf>
    <xf numFmtId="170" fontId="24" fillId="0" borderId="84" xfId="0" applyNumberFormat="1" applyFont="1" applyBorder="1" applyAlignment="1">
      <alignment horizontal="center"/>
    </xf>
    <xf numFmtId="0" fontId="22" fillId="0" borderId="88" xfId="0" applyFont="1" applyBorder="1" applyAlignment="1">
      <alignment horizontal="center" vertical="center" wrapText="1"/>
    </xf>
    <xf numFmtId="0" fontId="22" fillId="0" borderId="89" xfId="0" applyFont="1" applyBorder="1" applyAlignment="1">
      <alignment horizontal="center" vertical="center" wrapText="1"/>
    </xf>
    <xf numFmtId="0" fontId="22" fillId="0" borderId="84" xfId="0" applyFont="1" applyBorder="1" applyAlignment="1">
      <alignment horizontal="center" vertical="center" wrapText="1"/>
    </xf>
    <xf numFmtId="0" fontId="22" fillId="2" borderId="92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3" fillId="0" borderId="55" xfId="0" applyFont="1" applyFill="1" applyBorder="1" applyAlignment="1">
      <alignment horizontal="left"/>
    </xf>
    <xf numFmtId="0" fontId="24" fillId="0" borderId="81" xfId="0" applyFont="1" applyFill="1" applyBorder="1" applyAlignment="1">
      <alignment vertical="center"/>
    </xf>
    <xf numFmtId="0" fontId="24" fillId="0" borderId="82" xfId="0" applyFont="1" applyFill="1" applyBorder="1" applyAlignment="1">
      <alignment vertical="center" wrapText="1"/>
    </xf>
    <xf numFmtId="3" fontId="4" fillId="0" borderId="8" xfId="0" applyNumberFormat="1" applyFont="1" applyFill="1" applyBorder="1"/>
  </cellXfs>
  <cellStyles count="7">
    <cellStyle name="Обычный" xfId="0" builtinId="0"/>
    <cellStyle name="Обычный 2" xfId="5" xr:uid="{CDF819C7-A2F7-4124-AC45-CEEDCDFCE345}"/>
    <cellStyle name="Процентный" xfId="3" builtinId="5"/>
    <cellStyle name="Финансовый" xfId="1" builtinId="3"/>
    <cellStyle name="Comma 2" xfId="4" xr:uid="{B884ACB5-8C2A-459A-8930-FFC3EC35EC38}"/>
    <cellStyle name="Hyperlink" xfId="2" xr:uid="{00000000-000B-0000-0000-000008000000}"/>
    <cellStyle name="Normal 2" xfId="6" xr:uid="{CCEA919A-BF16-4FB5-AC3F-8185F1819B15}"/>
  </cellStyles>
  <dxfs count="20">
    <dxf>
      <fill>
        <patternFill>
          <bgColor rgb="FF92D050"/>
        </patternFill>
      </fill>
    </dxf>
    <dxf>
      <fill>
        <patternFill>
          <bgColor rgb="FFFF7171"/>
        </patternFill>
      </fill>
    </dxf>
    <dxf>
      <fill>
        <patternFill>
          <bgColor rgb="FF92D050"/>
        </patternFill>
      </fill>
    </dxf>
    <dxf>
      <fill>
        <patternFill>
          <bgColor rgb="FFFF7171"/>
        </patternFill>
      </fill>
    </dxf>
    <dxf>
      <fill>
        <patternFill>
          <bgColor rgb="FF92D050"/>
        </patternFill>
      </fill>
    </dxf>
    <dxf>
      <fill>
        <patternFill>
          <bgColor rgb="FFFF7171"/>
        </patternFill>
      </fill>
    </dxf>
    <dxf>
      <fill>
        <patternFill>
          <bgColor rgb="FF92D050"/>
        </patternFill>
      </fill>
    </dxf>
    <dxf>
      <fill>
        <patternFill>
          <bgColor rgb="FFFF7171"/>
        </patternFill>
      </fill>
    </dxf>
    <dxf>
      <fill>
        <patternFill>
          <bgColor rgb="FF92D050"/>
        </patternFill>
      </fill>
    </dxf>
    <dxf>
      <fill>
        <patternFill>
          <bgColor rgb="FFFF7171"/>
        </patternFill>
      </fill>
    </dxf>
    <dxf>
      <fill>
        <patternFill>
          <bgColor rgb="FF92D050"/>
        </patternFill>
      </fill>
    </dxf>
    <dxf>
      <fill>
        <patternFill>
          <bgColor rgb="FFFF7171"/>
        </patternFill>
      </fill>
    </dxf>
    <dxf>
      <fill>
        <patternFill>
          <bgColor rgb="FF92D050"/>
        </patternFill>
      </fill>
    </dxf>
    <dxf>
      <fill>
        <patternFill>
          <bgColor rgb="FFFF7171"/>
        </patternFill>
      </fill>
    </dxf>
    <dxf>
      <fill>
        <patternFill>
          <bgColor rgb="FF92D050"/>
        </patternFill>
      </fill>
    </dxf>
    <dxf>
      <fill>
        <patternFill>
          <bgColor rgb="FFFF7171"/>
        </patternFill>
      </fill>
    </dxf>
    <dxf>
      <fill>
        <patternFill>
          <bgColor rgb="FF92D050"/>
        </patternFill>
      </fill>
    </dxf>
    <dxf>
      <fill>
        <patternFill>
          <bgColor rgb="FFFF7171"/>
        </patternFill>
      </fill>
    </dxf>
    <dxf>
      <fill>
        <patternFill>
          <bgColor rgb="FF92D050"/>
        </patternFill>
      </fill>
    </dxf>
    <dxf>
      <fill>
        <patternFill>
          <bgColor rgb="FFFF7171"/>
        </patternFill>
      </fill>
    </dxf>
  </dxfs>
  <tableStyles count="0" defaultTableStyle="TableStyleMedium2" defaultPivotStyle="PivotStyleLight16"/>
  <colors>
    <mruColors>
      <color rgb="FFFF66FF"/>
      <color rgb="FFFCE4D6"/>
      <color rgb="FFEDD5C2"/>
      <color rgb="FFFF7F7F"/>
      <color rgb="FFE3C3AA"/>
      <color rgb="FFFF7171"/>
      <color rgb="FF92D050"/>
      <color rgb="FF70A6DC"/>
      <color rgb="FFDEEAF7"/>
      <color rgb="FFEA43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archb/Downloads/_simple_regression.xlsx" TargetMode="External"/><Relationship Id="rId1" Type="http://schemas.openxmlformats.org/officeDocument/2006/relationships/externalLinkPath" Target="file:///C:/Users/archb/Downloads/_simple_regre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нейный"/>
      <sheetName val="Диаграмма рассеяния"/>
      <sheetName val="Матричная форма"/>
      <sheetName val="Интервалы"/>
      <sheetName val="Адекватность"/>
      <sheetName val="Надстройка"/>
      <sheetName val="EXCEL2.RU"/>
    </sheetNames>
    <sheetDataSet>
      <sheetData sheetId="0" refreshError="1"/>
      <sheetData sheetId="1" refreshError="1"/>
      <sheetData sheetId="2" refreshError="1"/>
      <sheetData sheetId="3">
        <row r="53">
          <cell r="B53">
            <v>400</v>
          </cell>
          <cell r="C53">
            <v>1743.8821159070503</v>
          </cell>
        </row>
        <row r="54">
          <cell r="B54">
            <v>410</v>
          </cell>
          <cell r="C54">
            <v>2093.160475656839</v>
          </cell>
        </row>
        <row r="55">
          <cell r="B55">
            <v>420</v>
          </cell>
          <cell r="C55">
            <v>1443.4785347107609</v>
          </cell>
        </row>
        <row r="56">
          <cell r="B56">
            <v>430</v>
          </cell>
          <cell r="C56">
            <v>1247.629838457297</v>
          </cell>
        </row>
        <row r="57">
          <cell r="B57">
            <v>440</v>
          </cell>
          <cell r="C57">
            <v>2463.0873181024308</v>
          </cell>
        </row>
        <row r="58">
          <cell r="B58">
            <v>450</v>
          </cell>
          <cell r="C58">
            <v>1915.0044783697817</v>
          </cell>
        </row>
        <row r="59">
          <cell r="B59">
            <v>460</v>
          </cell>
          <cell r="C59">
            <v>2723.6545306854891</v>
          </cell>
        </row>
        <row r="60">
          <cell r="B60">
            <v>470</v>
          </cell>
          <cell r="C60">
            <v>2579.1889185712971</v>
          </cell>
        </row>
        <row r="61">
          <cell r="B61">
            <v>480</v>
          </cell>
          <cell r="C61">
            <v>1954.4737388895878</v>
          </cell>
        </row>
        <row r="62">
          <cell r="B62">
            <v>490</v>
          </cell>
          <cell r="C62">
            <v>1530.1942907864918</v>
          </cell>
        </row>
        <row r="63">
          <cell r="B63">
            <v>500</v>
          </cell>
          <cell r="C63">
            <v>2636.9942335293358</v>
          </cell>
        </row>
        <row r="64">
          <cell r="B64">
            <v>510</v>
          </cell>
          <cell r="C64">
            <v>2500.9133276431139</v>
          </cell>
        </row>
        <row r="65">
          <cell r="B65">
            <v>520</v>
          </cell>
          <cell r="C65">
            <v>1485.6397289135261</v>
          </cell>
        </row>
        <row r="66">
          <cell r="B66">
            <v>530</v>
          </cell>
          <cell r="C66">
            <v>2579.4481332180876</v>
          </cell>
        </row>
        <row r="67">
          <cell r="B67">
            <v>540</v>
          </cell>
          <cell r="C67">
            <v>2404.9665206966606</v>
          </cell>
        </row>
        <row r="68">
          <cell r="B68">
            <v>550</v>
          </cell>
          <cell r="C68">
            <v>1891.6914931659628</v>
          </cell>
        </row>
        <row r="69">
          <cell r="B69">
            <v>560</v>
          </cell>
          <cell r="C69">
            <v>2253.2113831583729</v>
          </cell>
        </row>
        <row r="70">
          <cell r="B70">
            <v>570</v>
          </cell>
          <cell r="C70">
            <v>1348.4776898831792</v>
          </cell>
        </row>
        <row r="71">
          <cell r="B71">
            <v>580</v>
          </cell>
          <cell r="C71">
            <v>2640.7840231977452</v>
          </cell>
        </row>
        <row r="72">
          <cell r="B72">
            <v>590</v>
          </cell>
          <cell r="C72">
            <v>1920.0720985568851</v>
          </cell>
        </row>
        <row r="73">
          <cell r="B73">
            <v>600</v>
          </cell>
          <cell r="C73">
            <v>1616.0833185336792</v>
          </cell>
        </row>
        <row r="74">
          <cell r="B74">
            <v>610</v>
          </cell>
          <cell r="C74">
            <v>1877.4325184768231</v>
          </cell>
        </row>
        <row r="75">
          <cell r="B75">
            <v>620</v>
          </cell>
          <cell r="C75">
            <v>1974.7461348523175</v>
          </cell>
        </row>
        <row r="76">
          <cell r="B76">
            <v>630</v>
          </cell>
          <cell r="C76">
            <v>2942.9269617461478</v>
          </cell>
        </row>
        <row r="77">
          <cell r="B77">
            <v>640</v>
          </cell>
          <cell r="C77">
            <v>1545.2331443672208</v>
          </cell>
        </row>
        <row r="78">
          <cell r="B78">
            <v>650</v>
          </cell>
          <cell r="C78">
            <v>2230.0433778897905</v>
          </cell>
        </row>
        <row r="79">
          <cell r="B79">
            <v>660</v>
          </cell>
          <cell r="C79">
            <v>2228.5516920989598</v>
          </cell>
        </row>
        <row r="80">
          <cell r="B80">
            <v>670</v>
          </cell>
          <cell r="C80">
            <v>2219.5142326739906</v>
          </cell>
        </row>
        <row r="81">
          <cell r="B81">
            <v>680</v>
          </cell>
          <cell r="C81">
            <v>2674.3694654554897</v>
          </cell>
        </row>
        <row r="82">
          <cell r="B82">
            <v>690</v>
          </cell>
          <cell r="C82">
            <v>3053.2618391285228</v>
          </cell>
        </row>
        <row r="83">
          <cell r="B83">
            <v>700</v>
          </cell>
          <cell r="C83">
            <v>2445.8922560241135</v>
          </cell>
        </row>
        <row r="84">
          <cell r="B84">
            <v>710</v>
          </cell>
          <cell r="C84">
            <v>2092.2594393219379</v>
          </cell>
        </row>
        <row r="85">
          <cell r="B85">
            <v>720</v>
          </cell>
          <cell r="C85">
            <v>2047.2061619428357</v>
          </cell>
        </row>
        <row r="86">
          <cell r="B86">
            <v>730</v>
          </cell>
          <cell r="C86">
            <v>2991.8240458899036</v>
          </cell>
        </row>
        <row r="87">
          <cell r="B87">
            <v>740</v>
          </cell>
          <cell r="C87">
            <v>2147.1424386500348</v>
          </cell>
        </row>
        <row r="88">
          <cell r="B88">
            <v>750</v>
          </cell>
          <cell r="C88">
            <v>2669.0239376155796</v>
          </cell>
        </row>
        <row r="89">
          <cell r="B89">
            <v>760</v>
          </cell>
          <cell r="C89">
            <v>3888.4600502261815</v>
          </cell>
        </row>
        <row r="90">
          <cell r="B90">
            <v>770</v>
          </cell>
          <cell r="C90">
            <v>2507.8425906409079</v>
          </cell>
        </row>
        <row r="91">
          <cell r="B91">
            <v>780</v>
          </cell>
          <cell r="C91">
            <v>2836.6761641384473</v>
          </cell>
        </row>
        <row r="92">
          <cell r="B92">
            <v>790</v>
          </cell>
          <cell r="C92">
            <v>1775.8777052102091</v>
          </cell>
        </row>
        <row r="93">
          <cell r="B93">
            <v>800</v>
          </cell>
          <cell r="C93">
            <v>3430.9885799238218</v>
          </cell>
        </row>
        <row r="94">
          <cell r="B94">
            <v>810</v>
          </cell>
          <cell r="C94">
            <v>1980.0725292640057</v>
          </cell>
        </row>
        <row r="95">
          <cell r="B95">
            <v>820</v>
          </cell>
          <cell r="C95">
            <v>2434.3185152185442</v>
          </cell>
        </row>
        <row r="96">
          <cell r="B96">
            <v>830</v>
          </cell>
          <cell r="C96">
            <v>3107.1686589913884</v>
          </cell>
        </row>
        <row r="97">
          <cell r="B97">
            <v>840</v>
          </cell>
          <cell r="C97">
            <v>1955.0330212897038</v>
          </cell>
        </row>
        <row r="98">
          <cell r="B98">
            <v>850</v>
          </cell>
          <cell r="C98">
            <v>3154.3925114716831</v>
          </cell>
        </row>
        <row r="99">
          <cell r="B99">
            <v>860</v>
          </cell>
          <cell r="C99">
            <v>2167.8844533132497</v>
          </cell>
        </row>
        <row r="100">
          <cell r="B100">
            <v>870</v>
          </cell>
          <cell r="C100">
            <v>2669.4351643676969</v>
          </cell>
        </row>
        <row r="101">
          <cell r="B101">
            <v>880</v>
          </cell>
          <cell r="C101">
            <v>2199.5881297121368</v>
          </cell>
        </row>
        <row r="102">
          <cell r="B102">
            <v>890</v>
          </cell>
          <cell r="C102">
            <v>1997.939806569027</v>
          </cell>
        </row>
        <row r="103">
          <cell r="B103">
            <v>900</v>
          </cell>
          <cell r="C103">
            <v>1872.4637752703277</v>
          </cell>
        </row>
        <row r="104">
          <cell r="B104">
            <v>910</v>
          </cell>
          <cell r="C104">
            <v>3239.4296782213391</v>
          </cell>
        </row>
        <row r="105">
          <cell r="B105">
            <v>920</v>
          </cell>
          <cell r="C105">
            <v>3881.7656579147124</v>
          </cell>
        </row>
        <row r="106">
          <cell r="B106">
            <v>930</v>
          </cell>
          <cell r="C106">
            <v>3011.7544243240004</v>
          </cell>
        </row>
        <row r="107">
          <cell r="B107">
            <v>940</v>
          </cell>
          <cell r="C107">
            <v>2173.1777626897265</v>
          </cell>
        </row>
        <row r="108">
          <cell r="B108">
            <v>950</v>
          </cell>
          <cell r="C108">
            <v>2353.0369671024796</v>
          </cell>
        </row>
        <row r="109">
          <cell r="B109">
            <v>960</v>
          </cell>
          <cell r="C109">
            <v>3280.5057915806628</v>
          </cell>
        </row>
        <row r="110">
          <cell r="B110">
            <v>970</v>
          </cell>
          <cell r="C110">
            <v>3389.5201241209616</v>
          </cell>
        </row>
        <row r="111">
          <cell r="B111">
            <v>980</v>
          </cell>
          <cell r="C111">
            <v>2181.1212576301259</v>
          </cell>
        </row>
        <row r="112">
          <cell r="B112">
            <v>990</v>
          </cell>
          <cell r="C112">
            <v>2614.2103254759604</v>
          </cell>
        </row>
        <row r="113">
          <cell r="B113">
            <v>1000</v>
          </cell>
          <cell r="C113">
            <v>4014.9565426323788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31A52-8DC7-A847-81B5-FCB6686E8DEB}">
  <sheetPr>
    <tabColor theme="9" tint="0.39997558519241921"/>
  </sheetPr>
  <dimension ref="A1:AO159"/>
  <sheetViews>
    <sheetView showGridLines="0" tabSelected="1" zoomScaleNormal="100" workbookViewId="0">
      <pane xSplit="2" topLeftCell="C1" activePane="topRight" state="frozen"/>
      <selection activeCell="A76" sqref="A76"/>
      <selection pane="topRight" activeCell="B56" sqref="B56"/>
    </sheetView>
  </sheetViews>
  <sheetFormatPr baseColWidth="10" defaultColWidth="9.1640625" defaultRowHeight="20.25" customHeight="1" x14ac:dyDescent="0.2"/>
  <cols>
    <col min="1" max="1" width="9.5" style="4" customWidth="1"/>
    <col min="2" max="2" width="65" style="4" customWidth="1"/>
    <col min="3" max="9" width="14.5" style="4" customWidth="1"/>
    <col min="10" max="10" width="1.5" style="4" customWidth="1"/>
    <col min="11" max="17" width="14.5" style="4" customWidth="1"/>
    <col min="18" max="18" width="1.5" style="4" customWidth="1"/>
    <col min="19" max="25" width="14.5" style="4" customWidth="1"/>
    <col min="26" max="26" width="1.5" style="4" customWidth="1"/>
    <col min="27" max="33" width="14.5" style="4" customWidth="1"/>
    <col min="34" max="34" width="1.5" style="4" customWidth="1"/>
    <col min="35" max="35" width="9.5" style="4" customWidth="1"/>
    <col min="36" max="36" width="1.5" style="4" customWidth="1"/>
    <col min="37" max="16384" width="9.1640625" style="4"/>
  </cols>
  <sheetData>
    <row r="1" spans="2:35" ht="20" customHeight="1" x14ac:dyDescent="0.2">
      <c r="C1" s="78"/>
      <c r="D1" s="31"/>
      <c r="E1" s="31"/>
      <c r="F1" s="31"/>
      <c r="G1" s="31"/>
      <c r="H1" s="31"/>
    </row>
    <row r="2" spans="2:35" ht="20" customHeight="1" thickBot="1" x14ac:dyDescent="0.25">
      <c r="B2" s="70" t="s">
        <v>0</v>
      </c>
      <c r="C2" s="124"/>
      <c r="D2" s="125"/>
      <c r="E2" s="125"/>
      <c r="F2" s="125"/>
      <c r="G2" s="125"/>
      <c r="H2" s="125"/>
      <c r="I2" s="85"/>
      <c r="J2" s="30"/>
    </row>
    <row r="3" spans="2:35" ht="20" customHeight="1" x14ac:dyDescent="0.2">
      <c r="B3" s="34"/>
      <c r="C3" s="409" t="s">
        <v>1</v>
      </c>
      <c r="D3" s="409"/>
      <c r="E3" s="409"/>
      <c r="F3" s="409"/>
      <c r="G3" s="409"/>
      <c r="H3" s="409"/>
      <c r="I3" s="409"/>
      <c r="J3" s="30"/>
      <c r="K3" s="409" t="s">
        <v>2</v>
      </c>
      <c r="L3" s="409"/>
      <c r="M3" s="409"/>
      <c r="N3" s="409"/>
      <c r="O3" s="409"/>
      <c r="P3" s="409"/>
      <c r="Q3" s="409"/>
      <c r="S3" s="409" t="s">
        <v>3</v>
      </c>
      <c r="T3" s="409"/>
      <c r="U3" s="409"/>
      <c r="V3" s="409"/>
      <c r="W3" s="409"/>
      <c r="X3" s="409"/>
      <c r="Y3" s="409"/>
      <c r="AA3" s="409" t="s">
        <v>4</v>
      </c>
      <c r="AB3" s="409"/>
      <c r="AC3" s="409"/>
      <c r="AD3" s="409"/>
      <c r="AE3" s="409"/>
      <c r="AF3" s="409"/>
      <c r="AG3" s="409"/>
    </row>
    <row r="4" spans="2:35" ht="20" customHeight="1" x14ac:dyDescent="0.2">
      <c r="B4" s="126"/>
      <c r="C4" s="41"/>
      <c r="D4" s="41" t="s">
        <v>5</v>
      </c>
      <c r="E4" s="97">
        <v>2026</v>
      </c>
      <c r="F4" s="97">
        <v>2027</v>
      </c>
      <c r="G4" s="97">
        <v>2028</v>
      </c>
      <c r="H4" s="97">
        <v>2029</v>
      </c>
      <c r="I4" s="97">
        <v>2030</v>
      </c>
      <c r="K4" s="41"/>
      <c r="L4" s="41" t="s">
        <v>5</v>
      </c>
      <c r="M4" s="97">
        <v>2026</v>
      </c>
      <c r="N4" s="97">
        <v>2027</v>
      </c>
      <c r="O4" s="97">
        <v>2028</v>
      </c>
      <c r="P4" s="97">
        <v>2029</v>
      </c>
      <c r="Q4" s="97">
        <v>2030</v>
      </c>
      <c r="S4" s="41"/>
      <c r="T4" s="41" t="s">
        <v>5</v>
      </c>
      <c r="U4" s="97">
        <v>2026</v>
      </c>
      <c r="V4" s="97">
        <v>2027</v>
      </c>
      <c r="W4" s="97">
        <v>2028</v>
      </c>
      <c r="X4" s="97">
        <v>2029</v>
      </c>
      <c r="Y4" s="97">
        <v>2030</v>
      </c>
      <c r="AA4" s="41"/>
      <c r="AB4" s="41" t="s">
        <v>5</v>
      </c>
      <c r="AC4" s="97">
        <v>2026</v>
      </c>
      <c r="AD4" s="97">
        <v>2027</v>
      </c>
      <c r="AE4" s="97">
        <v>2028</v>
      </c>
      <c r="AF4" s="97">
        <v>2029</v>
      </c>
      <c r="AG4" s="97">
        <v>2030</v>
      </c>
    </row>
    <row r="5" spans="2:35" ht="20" customHeight="1" x14ac:dyDescent="0.2">
      <c r="B5" s="101" t="s">
        <v>6</v>
      </c>
      <c r="C5" s="101" t="s">
        <v>7</v>
      </c>
      <c r="D5" s="127">
        <v>51502</v>
      </c>
      <c r="E5" s="102">
        <v>59031.592399999994</v>
      </c>
      <c r="F5" s="102">
        <v>67732.849119759994</v>
      </c>
      <c r="G5" s="102">
        <v>77797.950498956328</v>
      </c>
      <c r="H5" s="102">
        <v>89452.083483699986</v>
      </c>
      <c r="I5" s="103">
        <f>D5*2</f>
        <v>103004</v>
      </c>
      <c r="K5" s="101" t="s">
        <v>7</v>
      </c>
      <c r="L5" s="127">
        <v>43215.027862068964</v>
      </c>
      <c r="M5" s="102">
        <v>49498.492913213791</v>
      </c>
      <c r="N5" s="102">
        <v>56824.269864369431</v>
      </c>
      <c r="O5" s="102">
        <v>65274.038793201165</v>
      </c>
      <c r="P5" s="102">
        <v>75065.144612181335</v>
      </c>
      <c r="Q5" s="103">
        <f>L5*2</f>
        <v>86430.055724137928</v>
      </c>
      <c r="S5" s="101" t="s">
        <v>8</v>
      </c>
      <c r="T5" s="127">
        <v>24565</v>
      </c>
      <c r="U5" s="102">
        <v>30829.074999999997</v>
      </c>
      <c r="V5" s="102">
        <v>38998.779875</v>
      </c>
      <c r="W5" s="102">
        <v>49918.438240000003</v>
      </c>
      <c r="X5" s="102">
        <v>64644.377520800001</v>
      </c>
      <c r="Y5" s="103">
        <f>T5*3.5</f>
        <v>85977.5</v>
      </c>
      <c r="AA5" s="101" t="s">
        <v>7</v>
      </c>
      <c r="AB5" s="127">
        <v>7911.8422222222225</v>
      </c>
      <c r="AC5" s="102">
        <v>8995.7646066666675</v>
      </c>
      <c r="AD5" s="102">
        <v>10282.15894542</v>
      </c>
      <c r="AE5" s="102">
        <v>11803.918469342159</v>
      </c>
      <c r="AF5" s="102">
        <v>13633.525832090194</v>
      </c>
      <c r="AG5" s="103">
        <f>AB5*2</f>
        <v>15823.684444444445</v>
      </c>
      <c r="AI5" s="86">
        <f>D5+L5+T5+AB5</f>
        <v>127193.87008429119</v>
      </c>
    </row>
    <row r="6" spans="2:35" ht="20" customHeight="1" x14ac:dyDescent="0.2">
      <c r="B6" s="110" t="s">
        <v>9</v>
      </c>
      <c r="C6" s="110"/>
      <c r="D6" s="128">
        <v>0.14499999999999999</v>
      </c>
      <c r="E6" s="136">
        <f>E5/D5-1</f>
        <v>0.14619999999999989</v>
      </c>
      <c r="F6" s="136">
        <f>F5/E5-1</f>
        <v>0.14739999999999998</v>
      </c>
      <c r="G6" s="136">
        <f>G5/F5-1</f>
        <v>0.14860000000000007</v>
      </c>
      <c r="H6" s="136">
        <f>H5/G5-1</f>
        <v>0.14979999999999993</v>
      </c>
      <c r="I6" s="136">
        <f>I5/H5-1</f>
        <v>0.15149917127161672</v>
      </c>
      <c r="K6" s="110"/>
      <c r="L6" s="128">
        <v>0.14399999999999999</v>
      </c>
      <c r="M6" s="118">
        <v>0.1454</v>
      </c>
      <c r="N6" s="118">
        <v>0.14799999999999999</v>
      </c>
      <c r="O6" s="118">
        <v>0.1487</v>
      </c>
      <c r="P6" s="118">
        <v>0.15</v>
      </c>
      <c r="Q6" s="118">
        <f>Q5/P5-1</f>
        <v>0.15140064234436079</v>
      </c>
      <c r="S6" s="110"/>
      <c r="T6" s="128">
        <v>0.25</v>
      </c>
      <c r="U6" s="118">
        <v>0.255</v>
      </c>
      <c r="V6" s="118">
        <v>0.26500000000000001</v>
      </c>
      <c r="W6" s="118">
        <v>0.28000000000000003</v>
      </c>
      <c r="X6" s="118">
        <v>0.29499999999999998</v>
      </c>
      <c r="Y6" s="119">
        <f>Y5/X5-1</f>
        <v>0.33000739271309154</v>
      </c>
      <c r="AA6" s="110"/>
      <c r="AB6" s="128">
        <v>0.13300000000000001</v>
      </c>
      <c r="AC6" s="118">
        <v>0.13700000000000001</v>
      </c>
      <c r="AD6" s="118">
        <v>0.14299999999999999</v>
      </c>
      <c r="AE6" s="118">
        <v>0.14799999999999999</v>
      </c>
      <c r="AF6" s="118">
        <v>0.155</v>
      </c>
      <c r="AG6" s="119">
        <f>AG5/AF5-1</f>
        <v>0.16064506271731416</v>
      </c>
    </row>
    <row r="7" spans="2:35" ht="20" customHeight="1" x14ac:dyDescent="0.2">
      <c r="B7" s="32" t="s">
        <v>10</v>
      </c>
      <c r="C7" s="32"/>
      <c r="D7" s="137">
        <f>D68</f>
        <v>14154.75</v>
      </c>
      <c r="E7" s="39">
        <v>18299.793643999998</v>
      </c>
      <c r="F7" s="39">
        <v>22487.305907760317</v>
      </c>
      <c r="G7" s="39">
        <v>27540.474476630545</v>
      </c>
      <c r="H7" s="39">
        <v>33633.983389871202</v>
      </c>
      <c r="I7" s="40">
        <f>I8*I5</f>
        <v>41201.600000000006</v>
      </c>
      <c r="K7" s="32"/>
      <c r="L7" s="129">
        <f>L68</f>
        <v>7103.2560115862088</v>
      </c>
      <c r="M7" s="39">
        <v>9652.2061180766905</v>
      </c>
      <c r="N7" s="39">
        <v>12842.284989347492</v>
      </c>
      <c r="O7" s="39">
        <v>17232.34624140511</v>
      </c>
      <c r="P7" s="39">
        <v>21018.240491410776</v>
      </c>
      <c r="Q7" s="40">
        <f>Q8*Q5</f>
        <v>25929.016717241379</v>
      </c>
      <c r="S7" s="32"/>
      <c r="T7" s="129">
        <f>T68</f>
        <v>627</v>
      </c>
      <c r="U7" s="39">
        <v>2343.0096999999996</v>
      </c>
      <c r="V7" s="39">
        <v>5966.8133208749996</v>
      </c>
      <c r="W7" s="39">
        <v>13877.325830720001</v>
      </c>
      <c r="X7" s="39">
        <v>21009.42269426</v>
      </c>
      <c r="Y7" s="40">
        <f>Y8*Y5</f>
        <v>34391</v>
      </c>
      <c r="AA7" s="32"/>
      <c r="AB7" s="129">
        <f>AB68</f>
        <v>1161.9800000000005</v>
      </c>
      <c r="AC7" s="39">
        <v>1664.2164522333335</v>
      </c>
      <c r="AD7" s="39">
        <v>2364.8965574466001</v>
      </c>
      <c r="AE7" s="39">
        <v>3246.0775790690941</v>
      </c>
      <c r="AF7" s="39">
        <v>4158.2253787875088</v>
      </c>
      <c r="AG7" s="40">
        <f>AG8*AG5</f>
        <v>5538.2895555555551</v>
      </c>
    </row>
    <row r="8" spans="2:35" ht="20" customHeight="1" x14ac:dyDescent="0.2">
      <c r="B8" s="111" t="s">
        <v>11</v>
      </c>
      <c r="C8" s="111" t="s">
        <v>12</v>
      </c>
      <c r="D8" s="130">
        <f>D7/D5</f>
        <v>0.27483884121005009</v>
      </c>
      <c r="E8" s="120">
        <v>0.31</v>
      </c>
      <c r="F8" s="120">
        <v>0.33200000000000002</v>
      </c>
      <c r="G8" s="120">
        <v>0.35400000000000004</v>
      </c>
      <c r="H8" s="120">
        <v>0.37600000000000006</v>
      </c>
      <c r="I8" s="121">
        <v>0.4</v>
      </c>
      <c r="K8" s="111" t="s">
        <v>13</v>
      </c>
      <c r="L8" s="130">
        <f>L7/L5</f>
        <v>0.16437004354730347</v>
      </c>
      <c r="M8" s="120">
        <v>0.19500000000000001</v>
      </c>
      <c r="N8" s="120">
        <v>0.22600000000000001</v>
      </c>
      <c r="O8" s="120">
        <v>0.26400000000000001</v>
      </c>
      <c r="P8" s="120">
        <v>0.28000000000000003</v>
      </c>
      <c r="Q8" s="121">
        <v>0.3</v>
      </c>
      <c r="S8" s="111" t="s">
        <v>12</v>
      </c>
      <c r="T8" s="130">
        <f>T7/T5</f>
        <v>2.5524119682475067E-2</v>
      </c>
      <c r="U8" s="120">
        <v>7.5999999999999998E-2</v>
      </c>
      <c r="V8" s="120">
        <v>0.153</v>
      </c>
      <c r="W8" s="120">
        <v>0.27800000000000002</v>
      </c>
      <c r="X8" s="120">
        <v>0.32500000000000001</v>
      </c>
      <c r="Y8" s="121">
        <v>0.4</v>
      </c>
      <c r="AA8" s="111" t="s">
        <v>14</v>
      </c>
      <c r="AB8" s="130">
        <f>AB7/AB5</f>
        <v>0.14686592166061063</v>
      </c>
      <c r="AC8" s="120">
        <v>0.185</v>
      </c>
      <c r="AD8" s="120">
        <v>0.23</v>
      </c>
      <c r="AE8" s="120">
        <v>0.27500000000000002</v>
      </c>
      <c r="AF8" s="120">
        <v>0.30499999999999999</v>
      </c>
      <c r="AG8" s="121">
        <v>0.35</v>
      </c>
    </row>
    <row r="9" spans="2:35" ht="20" customHeight="1" x14ac:dyDescent="0.2">
      <c r="C9" s="80"/>
      <c r="D9" s="80"/>
      <c r="E9" s="164"/>
      <c r="F9" s="80"/>
      <c r="G9" s="80"/>
    </row>
    <row r="10" spans="2:35" ht="20" customHeight="1" thickBot="1" x14ac:dyDescent="0.25">
      <c r="B10" s="34" t="s">
        <v>15</v>
      </c>
      <c r="C10" s="80"/>
      <c r="D10" s="80"/>
      <c r="E10" s="80"/>
      <c r="F10" s="80"/>
      <c r="G10" s="80"/>
      <c r="H10" s="79"/>
      <c r="I10" s="79"/>
    </row>
    <row r="11" spans="2:35" ht="20" customHeight="1" thickBot="1" x14ac:dyDescent="0.25">
      <c r="B11" s="112"/>
      <c r="C11" s="57"/>
      <c r="D11" s="58" t="s">
        <v>5</v>
      </c>
      <c r="E11" s="59">
        <v>2026</v>
      </c>
      <c r="F11" s="59">
        <v>2027</v>
      </c>
      <c r="G11" s="59">
        <v>2028</v>
      </c>
      <c r="H11" s="59">
        <v>2029</v>
      </c>
      <c r="I11" s="59">
        <v>2030</v>
      </c>
    </row>
    <row r="12" spans="2:35" ht="20" customHeight="1" x14ac:dyDescent="0.2">
      <c r="B12" s="32" t="s">
        <v>16</v>
      </c>
      <c r="C12" s="32"/>
      <c r="D12" s="113">
        <v>5.5E-2</v>
      </c>
      <c r="E12" s="37">
        <v>0.05</v>
      </c>
      <c r="F12" s="37">
        <v>0.05</v>
      </c>
      <c r="G12" s="37">
        <v>0.05</v>
      </c>
      <c r="H12" s="37">
        <v>0.05</v>
      </c>
      <c r="I12" s="38">
        <v>0.05</v>
      </c>
      <c r="L12" s="86"/>
      <c r="M12" s="86"/>
      <c r="N12" s="86"/>
      <c r="O12" s="86"/>
      <c r="P12" s="86"/>
      <c r="Q12" s="86"/>
      <c r="T12" s="86"/>
      <c r="U12" s="86"/>
      <c r="V12" s="86"/>
      <c r="W12" s="86"/>
      <c r="X12" s="86"/>
      <c r="Y12" s="86"/>
      <c r="AB12" s="86"/>
      <c r="AC12" s="86"/>
      <c r="AD12" s="86"/>
      <c r="AE12" s="86"/>
      <c r="AF12" s="86"/>
      <c r="AG12" s="86"/>
    </row>
    <row r="13" spans="2:35" ht="20" customHeight="1" x14ac:dyDescent="0.2">
      <c r="B13" s="101" t="s">
        <v>17</v>
      </c>
      <c r="C13" s="101"/>
      <c r="D13" s="114">
        <v>6.5000000000000002E-2</v>
      </c>
      <c r="E13" s="33">
        <v>6.0000000000000005E-2</v>
      </c>
      <c r="F13" s="33">
        <v>6.0000000000000005E-2</v>
      </c>
      <c r="G13" s="33">
        <v>6.0000000000000005E-2</v>
      </c>
      <c r="H13" s="33">
        <v>6.0000000000000005E-2</v>
      </c>
      <c r="I13" s="33">
        <v>6.0000000000000005E-2</v>
      </c>
      <c r="R13" s="104"/>
      <c r="S13" s="104"/>
    </row>
    <row r="14" spans="2:35" ht="20" customHeight="1" x14ac:dyDescent="0.2">
      <c r="B14" s="32" t="s">
        <v>18</v>
      </c>
      <c r="C14" s="32"/>
      <c r="D14" s="115" t="s">
        <v>19</v>
      </c>
      <c r="E14" s="39">
        <v>1</v>
      </c>
      <c r="F14" s="39">
        <v>1</v>
      </c>
      <c r="G14" s="40">
        <v>1</v>
      </c>
      <c r="H14" s="40">
        <v>1</v>
      </c>
      <c r="I14" s="40">
        <v>1</v>
      </c>
      <c r="L14" s="86"/>
      <c r="M14" s="86"/>
      <c r="N14" s="86"/>
      <c r="O14" s="86"/>
      <c r="P14" s="86"/>
      <c r="Q14" s="86"/>
      <c r="R14" s="105"/>
      <c r="S14" s="105"/>
      <c r="T14" s="86"/>
      <c r="U14" s="86"/>
      <c r="V14" s="86"/>
      <c r="W14" s="86"/>
      <c r="X14" s="86"/>
      <c r="Y14" s="86"/>
      <c r="AB14" s="86"/>
      <c r="AC14" s="86"/>
      <c r="AD14" s="86"/>
      <c r="AE14" s="86"/>
      <c r="AF14" s="86"/>
      <c r="AG14" s="86"/>
    </row>
    <row r="15" spans="2:35" ht="20" customHeight="1" x14ac:dyDescent="0.2">
      <c r="B15" s="32" t="s">
        <v>20</v>
      </c>
      <c r="C15" s="32"/>
      <c r="D15" s="115" t="s">
        <v>19</v>
      </c>
      <c r="E15" s="39">
        <v>100000</v>
      </c>
      <c r="F15" s="39">
        <v>100000</v>
      </c>
      <c r="G15" s="39">
        <v>100000</v>
      </c>
      <c r="H15" s="39">
        <v>100000</v>
      </c>
      <c r="I15" s="40">
        <v>100000</v>
      </c>
      <c r="L15" s="66"/>
      <c r="M15" s="66"/>
      <c r="N15" s="66"/>
      <c r="O15" s="66"/>
      <c r="P15" s="66"/>
      <c r="Q15" s="66"/>
      <c r="R15" s="105"/>
      <c r="S15" s="105"/>
      <c r="T15" s="66"/>
      <c r="U15" s="66"/>
      <c r="V15" s="66"/>
      <c r="W15" s="66"/>
      <c r="X15" s="66"/>
      <c r="Y15" s="66"/>
      <c r="AB15" s="66"/>
      <c r="AC15" s="66"/>
      <c r="AD15" s="66"/>
      <c r="AE15" s="66"/>
      <c r="AF15" s="66"/>
      <c r="AG15" s="66"/>
    </row>
    <row r="16" spans="2:35" ht="20" customHeight="1" x14ac:dyDescent="0.2">
      <c r="B16" s="32" t="s">
        <v>21</v>
      </c>
      <c r="C16" s="32"/>
      <c r="D16" s="115" t="s">
        <v>19</v>
      </c>
      <c r="E16" s="75">
        <v>0.3</v>
      </c>
      <c r="F16" s="75">
        <v>0.3</v>
      </c>
      <c r="G16" s="76">
        <v>0.3</v>
      </c>
      <c r="H16" s="76">
        <v>0.3</v>
      </c>
      <c r="I16" s="76">
        <v>0.3</v>
      </c>
      <c r="O16" s="105"/>
      <c r="P16" s="105"/>
      <c r="Q16" s="105"/>
      <c r="R16" s="105"/>
      <c r="S16" s="105"/>
    </row>
    <row r="17" spans="2:25" ht="20" customHeight="1" x14ac:dyDescent="0.2">
      <c r="B17" s="101" t="s">
        <v>22</v>
      </c>
      <c r="C17" s="101"/>
      <c r="D17" s="116">
        <v>27210.140895296434</v>
      </c>
      <c r="E17" s="74">
        <v>31342.454292595448</v>
      </c>
      <c r="F17" s="74">
        <v>36102.411311860516</v>
      </c>
      <c r="G17" s="74">
        <v>41585.355276385526</v>
      </c>
      <c r="H17" s="74">
        <v>47901.114713688279</v>
      </c>
      <c r="I17" s="74">
        <v>55176.204334973649</v>
      </c>
    </row>
    <row r="18" spans="2:25" ht="20" customHeight="1" x14ac:dyDescent="0.2">
      <c r="B18" s="101" t="s">
        <v>23</v>
      </c>
      <c r="C18" s="101"/>
      <c r="D18" s="115" t="s">
        <v>19</v>
      </c>
      <c r="E18" s="39">
        <v>136.5</v>
      </c>
      <c r="F18" s="39">
        <v>126</v>
      </c>
      <c r="G18" s="40">
        <v>115.5</v>
      </c>
      <c r="H18" s="40">
        <v>105</v>
      </c>
      <c r="I18" s="40">
        <v>94.5</v>
      </c>
    </row>
    <row r="19" spans="2:25" ht="20" customHeight="1" x14ac:dyDescent="0.2">
      <c r="B19" s="69" t="s">
        <v>24</v>
      </c>
      <c r="C19" s="69"/>
      <c r="D19" s="117">
        <v>75718.780441530675</v>
      </c>
      <c r="E19" s="81"/>
      <c r="F19" s="81"/>
      <c r="G19" s="82"/>
      <c r="H19" s="82"/>
      <c r="I19" s="82"/>
    </row>
    <row r="20" spans="2:25" ht="20" customHeight="1" x14ac:dyDescent="0.2">
      <c r="C20" s="80"/>
      <c r="D20" s="80"/>
      <c r="E20" s="80"/>
      <c r="F20" s="80"/>
      <c r="G20" s="80"/>
      <c r="H20" s="80"/>
      <c r="I20" s="80"/>
    </row>
    <row r="21" spans="2:25" ht="20" customHeight="1" thickBot="1" x14ac:dyDescent="0.25">
      <c r="B21" s="34" t="s">
        <v>25</v>
      </c>
      <c r="C21" s="80"/>
      <c r="D21" s="80"/>
      <c r="E21" s="80"/>
      <c r="F21" s="80"/>
      <c r="G21" s="80"/>
      <c r="H21" s="79"/>
      <c r="I21" s="79"/>
    </row>
    <row r="22" spans="2:25" ht="20" customHeight="1" thickBot="1" x14ac:dyDescent="0.25">
      <c r="B22" s="57"/>
      <c r="C22" s="58" t="s">
        <v>26</v>
      </c>
      <c r="D22" s="58" t="s">
        <v>5</v>
      </c>
      <c r="E22" s="59">
        <v>2026</v>
      </c>
      <c r="F22" s="59">
        <v>2027</v>
      </c>
      <c r="G22" s="59">
        <v>2028</v>
      </c>
      <c r="H22" s="59">
        <v>2029</v>
      </c>
      <c r="I22" s="59">
        <v>2030</v>
      </c>
    </row>
    <row r="23" spans="2:25" ht="20" customHeight="1" x14ac:dyDescent="0.2">
      <c r="B23" s="32" t="s">
        <v>27</v>
      </c>
      <c r="C23" s="99">
        <v>110</v>
      </c>
      <c r="D23" s="99">
        <v>110</v>
      </c>
      <c r="E23" s="99">
        <v>115.5</v>
      </c>
      <c r="F23" s="99">
        <v>121</v>
      </c>
      <c r="G23" s="99">
        <v>126.5</v>
      </c>
      <c r="H23" s="99">
        <v>132</v>
      </c>
      <c r="I23" s="100">
        <v>137.5</v>
      </c>
    </row>
    <row r="24" spans="2:25" ht="20" customHeight="1" x14ac:dyDescent="0.2">
      <c r="B24" s="5" t="s">
        <v>28</v>
      </c>
      <c r="C24" s="39">
        <v>1100</v>
      </c>
      <c r="D24" s="39">
        <v>1100</v>
      </c>
      <c r="E24" s="39">
        <v>1210</v>
      </c>
      <c r="F24" s="39">
        <v>1320</v>
      </c>
      <c r="G24" s="39">
        <v>1430</v>
      </c>
      <c r="H24" s="39">
        <v>1540</v>
      </c>
      <c r="I24" s="40">
        <v>1650</v>
      </c>
      <c r="O24" s="105"/>
      <c r="P24" s="105"/>
      <c r="Q24" s="105"/>
      <c r="R24" s="105"/>
      <c r="S24" s="105"/>
      <c r="T24" s="106"/>
      <c r="U24" s="106"/>
      <c r="V24" s="106"/>
      <c r="W24" s="106"/>
      <c r="X24" s="106"/>
      <c r="Y24" s="106"/>
    </row>
    <row r="25" spans="2:25" ht="20" customHeight="1" x14ac:dyDescent="0.2">
      <c r="B25" s="32" t="s">
        <v>29</v>
      </c>
      <c r="C25" s="39">
        <v>77</v>
      </c>
      <c r="D25" s="39">
        <v>77</v>
      </c>
      <c r="E25" s="39">
        <v>88</v>
      </c>
      <c r="F25" s="39">
        <v>99</v>
      </c>
      <c r="G25" s="39">
        <v>110</v>
      </c>
      <c r="H25" s="39">
        <v>121</v>
      </c>
      <c r="I25" s="40">
        <v>132</v>
      </c>
    </row>
    <row r="26" spans="2:25" ht="20" customHeight="1" x14ac:dyDescent="0.2">
      <c r="B26" s="32" t="s">
        <v>30</v>
      </c>
      <c r="C26" s="39">
        <v>22</v>
      </c>
      <c r="D26" s="39">
        <v>22</v>
      </c>
      <c r="E26" s="39">
        <v>23.1</v>
      </c>
      <c r="F26" s="39">
        <v>24.255000000000003</v>
      </c>
      <c r="G26" s="39">
        <v>25.467750000000002</v>
      </c>
      <c r="H26" s="39">
        <v>26.741137500000004</v>
      </c>
      <c r="I26" s="40">
        <v>28.078194375000002</v>
      </c>
    </row>
    <row r="27" spans="2:25" ht="20" customHeight="1" x14ac:dyDescent="0.2">
      <c r="B27" s="32" t="s">
        <v>31</v>
      </c>
      <c r="C27" s="39">
        <v>1210</v>
      </c>
      <c r="D27" s="39">
        <v>1210</v>
      </c>
      <c r="E27" s="39">
        <v>1320</v>
      </c>
      <c r="F27" s="39">
        <v>1320</v>
      </c>
      <c r="G27" s="39">
        <v>1320</v>
      </c>
      <c r="H27" s="39">
        <v>1320</v>
      </c>
      <c r="I27" s="40">
        <v>1320</v>
      </c>
    </row>
    <row r="28" spans="2:25" ht="20" customHeight="1" x14ac:dyDescent="0.2">
      <c r="B28" s="5" t="s">
        <v>32</v>
      </c>
      <c r="C28" s="39">
        <v>2.2000000000000002</v>
      </c>
      <c r="D28" s="39">
        <v>2.2000000000000002</v>
      </c>
      <c r="E28" s="39">
        <v>3.3</v>
      </c>
      <c r="F28" s="39">
        <v>3.3</v>
      </c>
      <c r="G28" s="39">
        <v>3.3</v>
      </c>
      <c r="H28" s="39">
        <v>3.3</v>
      </c>
      <c r="I28" s="40">
        <v>3.3</v>
      </c>
    </row>
    <row r="29" spans="2:25" ht="20" customHeight="1" x14ac:dyDescent="0.2">
      <c r="B29" s="5" t="s">
        <v>33</v>
      </c>
      <c r="C29" s="39">
        <v>1.1000000000000001</v>
      </c>
      <c r="D29" s="39">
        <v>1.1000000000000001</v>
      </c>
      <c r="E29" s="39">
        <v>2.2000000000000002</v>
      </c>
      <c r="F29" s="39">
        <v>2.2000000000000002</v>
      </c>
      <c r="G29" s="39">
        <v>2.2000000000000002</v>
      </c>
      <c r="H29" s="39">
        <v>2.2000000000000002</v>
      </c>
      <c r="I29" s="40">
        <v>2.2000000000000002</v>
      </c>
    </row>
    <row r="30" spans="2:25" ht="20" customHeight="1" x14ac:dyDescent="0.2">
      <c r="B30" s="5" t="s">
        <v>34</v>
      </c>
      <c r="C30" s="81">
        <v>0</v>
      </c>
      <c r="D30" s="81">
        <v>10</v>
      </c>
      <c r="E30" s="81">
        <v>0</v>
      </c>
      <c r="F30" s="81">
        <v>0</v>
      </c>
      <c r="G30" s="81">
        <v>0</v>
      </c>
      <c r="H30" s="81">
        <v>0</v>
      </c>
      <c r="I30" s="82">
        <v>0</v>
      </c>
    </row>
    <row r="31" spans="2:25" ht="20" customHeight="1" x14ac:dyDescent="0.2">
      <c r="B31" s="5" t="s">
        <v>35</v>
      </c>
      <c r="C31" s="81"/>
      <c r="D31" s="81"/>
      <c r="E31" s="81"/>
      <c r="F31" s="81"/>
      <c r="G31" s="81"/>
      <c r="H31" s="81"/>
      <c r="I31" s="82"/>
    </row>
    <row r="32" spans="2:25" ht="20" customHeight="1" x14ac:dyDescent="0.2">
      <c r="B32" s="108" t="s">
        <v>36</v>
      </c>
      <c r="C32" s="81">
        <v>600</v>
      </c>
      <c r="D32" s="81">
        <v>600</v>
      </c>
      <c r="E32" s="81">
        <v>600</v>
      </c>
      <c r="F32" s="81">
        <v>0</v>
      </c>
      <c r="G32" s="81">
        <v>0</v>
      </c>
      <c r="H32" s="81">
        <v>0</v>
      </c>
      <c r="I32" s="82">
        <v>0</v>
      </c>
    </row>
    <row r="33" spans="2:41" ht="20" customHeight="1" x14ac:dyDescent="0.2">
      <c r="B33" s="109" t="s">
        <v>37</v>
      </c>
      <c r="C33" s="81">
        <v>600</v>
      </c>
      <c r="D33" s="81">
        <v>600</v>
      </c>
      <c r="E33" s="81">
        <v>0</v>
      </c>
      <c r="F33" s="81">
        <v>0</v>
      </c>
      <c r="G33" s="81">
        <v>0</v>
      </c>
      <c r="H33" s="81">
        <v>0</v>
      </c>
      <c r="I33" s="82">
        <v>0</v>
      </c>
    </row>
    <row r="34" spans="2:41" ht="20" customHeight="1" x14ac:dyDescent="0.2">
      <c r="B34" s="69"/>
      <c r="C34" s="9"/>
      <c r="D34" s="9"/>
      <c r="E34" s="9"/>
      <c r="F34" s="9"/>
      <c r="G34" s="9"/>
      <c r="H34" s="9"/>
      <c r="I34" s="9"/>
    </row>
    <row r="35" spans="2:41" ht="20" customHeight="1" x14ac:dyDescent="0.2">
      <c r="B35" s="69" t="s">
        <v>38</v>
      </c>
      <c r="C35" s="9"/>
      <c r="D35" s="9"/>
      <c r="E35" s="9"/>
      <c r="F35" s="9"/>
      <c r="G35" s="9"/>
      <c r="H35" s="9"/>
      <c r="I35" s="9"/>
    </row>
    <row r="36" spans="2:41" ht="20" customHeight="1" x14ac:dyDescent="0.2">
      <c r="E36" s="78"/>
      <c r="F36" s="78"/>
      <c r="G36" s="78"/>
      <c r="H36" s="78"/>
    </row>
    <row r="37" spans="2:41" ht="20" customHeight="1" thickBot="1" x14ac:dyDescent="0.25">
      <c r="B37" s="34" t="s">
        <v>39</v>
      </c>
      <c r="C37" s="131"/>
      <c r="D37" s="131"/>
      <c r="E37" s="131"/>
      <c r="F37" s="131"/>
      <c r="G37" s="131"/>
      <c r="H37" s="131"/>
    </row>
    <row r="38" spans="2:41" ht="20" customHeight="1" x14ac:dyDescent="0.2">
      <c r="B38" s="96"/>
      <c r="C38" s="98"/>
      <c r="D38" s="98"/>
      <c r="E38" s="98"/>
      <c r="F38" s="98"/>
      <c r="G38" s="98"/>
      <c r="H38" s="98"/>
      <c r="I38" s="98"/>
      <c r="K38" s="107"/>
      <c r="L38" s="107"/>
      <c r="M38" s="107"/>
      <c r="N38" s="107"/>
      <c r="O38" s="107"/>
      <c r="P38" s="107"/>
      <c r="Q38" s="107"/>
      <c r="S38" s="107"/>
      <c r="T38" s="107"/>
      <c r="U38" s="107"/>
      <c r="V38" s="107"/>
      <c r="W38" s="107"/>
      <c r="X38" s="107"/>
      <c r="Y38" s="107"/>
      <c r="AA38" s="107"/>
      <c r="AB38" s="107"/>
      <c r="AC38" s="107"/>
      <c r="AD38" s="107"/>
      <c r="AE38" s="107"/>
      <c r="AF38" s="107"/>
      <c r="AG38" s="107"/>
    </row>
    <row r="39" spans="2:41" s="146" customFormat="1" ht="20" customHeight="1" thickBot="1" x14ac:dyDescent="0.25">
      <c r="B39" s="34" t="s">
        <v>40</v>
      </c>
      <c r="M39" s="163"/>
      <c r="AI39" s="4"/>
      <c r="AJ39" s="4"/>
      <c r="AK39" s="4"/>
      <c r="AL39" s="4"/>
      <c r="AM39" s="4"/>
      <c r="AN39" s="4"/>
      <c r="AO39" s="4"/>
    </row>
    <row r="40" spans="2:41" ht="20" customHeight="1" x14ac:dyDescent="0.2">
      <c r="B40" s="406"/>
      <c r="C40" s="409" t="s">
        <v>1</v>
      </c>
      <c r="D40" s="409"/>
      <c r="E40" s="409"/>
      <c r="F40" s="409"/>
      <c r="G40" s="409"/>
      <c r="H40" s="409"/>
      <c r="I40" s="409"/>
      <c r="K40" s="409" t="s">
        <v>2</v>
      </c>
      <c r="L40" s="409"/>
      <c r="M40" s="409"/>
      <c r="N40" s="409"/>
      <c r="O40" s="409"/>
      <c r="P40" s="409"/>
      <c r="Q40" s="409"/>
      <c r="S40" s="409" t="s">
        <v>3</v>
      </c>
      <c r="T40" s="409"/>
      <c r="U40" s="409"/>
      <c r="V40" s="409"/>
      <c r="W40" s="409"/>
      <c r="X40" s="409"/>
      <c r="Y40" s="409"/>
      <c r="AA40" s="409" t="s">
        <v>4</v>
      </c>
      <c r="AB40" s="409"/>
      <c r="AC40" s="409"/>
      <c r="AD40" s="409"/>
      <c r="AE40" s="409"/>
      <c r="AF40" s="409"/>
      <c r="AG40" s="409"/>
    </row>
    <row r="41" spans="2:41" ht="20" customHeight="1" x14ac:dyDescent="0.2">
      <c r="B41" s="41"/>
      <c r="C41" s="41" t="s">
        <v>26</v>
      </c>
      <c r="D41" s="41" t="s">
        <v>5</v>
      </c>
      <c r="E41" s="97">
        <v>2026</v>
      </c>
      <c r="F41" s="97">
        <v>2027</v>
      </c>
      <c r="G41" s="97">
        <v>2028</v>
      </c>
      <c r="H41" s="97">
        <v>2029</v>
      </c>
      <c r="I41" s="97">
        <v>2030</v>
      </c>
      <c r="K41" s="41" t="s">
        <v>26</v>
      </c>
      <c r="L41" s="41" t="s">
        <v>5</v>
      </c>
      <c r="M41" s="97">
        <v>2026</v>
      </c>
      <c r="N41" s="97">
        <v>2027</v>
      </c>
      <c r="O41" s="97">
        <v>2028</v>
      </c>
      <c r="P41" s="97">
        <v>2029</v>
      </c>
      <c r="Q41" s="97">
        <v>2030</v>
      </c>
      <c r="S41" s="41" t="s">
        <v>26</v>
      </c>
      <c r="T41" s="41" t="s">
        <v>5</v>
      </c>
      <c r="U41" s="97">
        <v>2026</v>
      </c>
      <c r="V41" s="97">
        <v>2027</v>
      </c>
      <c r="W41" s="97">
        <v>2028</v>
      </c>
      <c r="X41" s="97">
        <v>2029</v>
      </c>
      <c r="Y41" s="97">
        <v>2030</v>
      </c>
      <c r="AA41" s="41" t="s">
        <v>26</v>
      </c>
      <c r="AB41" s="41" t="s">
        <v>5</v>
      </c>
      <c r="AC41" s="97">
        <v>2026</v>
      </c>
      <c r="AD41" s="97">
        <v>2027</v>
      </c>
      <c r="AE41" s="97">
        <v>2028</v>
      </c>
      <c r="AF41" s="97">
        <v>2029</v>
      </c>
      <c r="AG41" s="97">
        <v>2030</v>
      </c>
    </row>
    <row r="42" spans="2:41" ht="20" customHeight="1" x14ac:dyDescent="0.2">
      <c r="B42" s="44" t="s">
        <v>41</v>
      </c>
      <c r="C42" s="62">
        <f>SUM(C43:C47)</f>
        <v>51450</v>
      </c>
      <c r="D42" s="62">
        <f>SUM(D43:D47)</f>
        <v>51502</v>
      </c>
      <c r="E42" s="48">
        <f>($D$42/$D$17)*E17</f>
        <v>59323.437066666658</v>
      </c>
      <c r="F42" s="48">
        <f>($D$42/$D$17)*F17</f>
        <v>68332.846733066661</v>
      </c>
      <c r="G42" s="48">
        <f>($D$42/$D$17)*G17</f>
        <v>78710.690094759062</v>
      </c>
      <c r="H42" s="48">
        <f>($D$42/$D$17)*H17</f>
        <v>90664.845120696235</v>
      </c>
      <c r="I42" s="54">
        <f>($D$42/$D$17)*I17</f>
        <v>104434.77255757352</v>
      </c>
      <c r="K42" s="48">
        <f t="shared" ref="K42:Q42" si="0">SUM(K43:K47)</f>
        <v>42500</v>
      </c>
      <c r="L42" s="48">
        <f t="shared" si="0"/>
        <v>43215.027862068964</v>
      </c>
      <c r="M42" s="48">
        <f t="shared" si="0"/>
        <v>51144.985474758614</v>
      </c>
      <c r="N42" s="48">
        <f t="shared" si="0"/>
        <v>60531.073451260672</v>
      </c>
      <c r="O42" s="48">
        <f t="shared" si="0"/>
        <v>71640.855475831762</v>
      </c>
      <c r="P42" s="48">
        <f t="shared" si="0"/>
        <v>84791.094137461027</v>
      </c>
      <c r="Q42" s="7">
        <f t="shared" si="0"/>
        <v>100356.80384661969</v>
      </c>
      <c r="S42" s="48">
        <f t="shared" ref="S42:Y42" si="1">SUM(S43:S47)</f>
        <v>23700</v>
      </c>
      <c r="T42" s="48">
        <f t="shared" si="1"/>
        <v>24565</v>
      </c>
      <c r="U42" s="48">
        <f t="shared" si="1"/>
        <v>29797.345000000001</v>
      </c>
      <c r="V42" s="48">
        <f t="shared" si="1"/>
        <v>37246.681250000001</v>
      </c>
      <c r="W42" s="48">
        <f t="shared" si="1"/>
        <v>47675.752</v>
      </c>
      <c r="X42" s="48">
        <f t="shared" si="1"/>
        <v>63408.750160000003</v>
      </c>
      <c r="Y42" s="54">
        <f t="shared" si="1"/>
        <v>85601.812716000015</v>
      </c>
      <c r="AA42" s="48">
        <f t="shared" ref="AA42:AG42" si="2">SUM(AA43:AA47)</f>
        <v>8500</v>
      </c>
      <c r="AB42" s="48">
        <f t="shared" si="2"/>
        <v>7911.8422222222225</v>
      </c>
      <c r="AC42" s="48">
        <f t="shared" si="2"/>
        <v>8873.1310522222229</v>
      </c>
      <c r="AD42" s="48">
        <f t="shared" si="2"/>
        <v>9951.2164750672218</v>
      </c>
      <c r="AE42" s="48">
        <f t="shared" si="2"/>
        <v>11160.289276787889</v>
      </c>
      <c r="AF42" s="48">
        <f t="shared" si="2"/>
        <v>12516.264423917617</v>
      </c>
      <c r="AG42" s="54">
        <f t="shared" si="2"/>
        <v>14036.990551423607</v>
      </c>
      <c r="AI42" s="86"/>
    </row>
    <row r="43" spans="2:41" ht="20" customHeight="1" x14ac:dyDescent="0.2">
      <c r="B43" s="45" t="s">
        <v>42</v>
      </c>
      <c r="C43" s="63">
        <v>51450</v>
      </c>
      <c r="D43" s="63">
        <v>51502</v>
      </c>
      <c r="E43" s="8">
        <f>E42</f>
        <v>59323.437066666658</v>
      </c>
      <c r="F43" s="8">
        <f>F42</f>
        <v>68332.846733066661</v>
      </c>
      <c r="G43" s="8">
        <f>G42</f>
        <v>78710.690094759062</v>
      </c>
      <c r="H43" s="8">
        <f>H42</f>
        <v>90664.845120696235</v>
      </c>
      <c r="I43" s="8">
        <f>I42</f>
        <v>104434.77255757352</v>
      </c>
      <c r="K43" s="49">
        <v>0</v>
      </c>
      <c r="L43" s="49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S43" s="49">
        <v>0</v>
      </c>
      <c r="T43" s="55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AA43" s="49">
        <v>0</v>
      </c>
      <c r="AB43" s="55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I43" s="86"/>
    </row>
    <row r="44" spans="2:41" ht="20" customHeight="1" x14ac:dyDescent="0.2">
      <c r="B44" s="45" t="s">
        <v>43</v>
      </c>
      <c r="C44" s="63">
        <v>0</v>
      </c>
      <c r="D44" s="63">
        <v>0</v>
      </c>
      <c r="E44" s="8"/>
      <c r="F44" s="8"/>
      <c r="G44" s="8"/>
      <c r="H44" s="8"/>
      <c r="I44" s="8"/>
      <c r="K44" s="49">
        <v>27500</v>
      </c>
      <c r="L44" s="49">
        <v>28089.768110344827</v>
      </c>
      <c r="M44" s="8">
        <v>33145.926370206893</v>
      </c>
      <c r="N44" s="8">
        <v>39112.19311684413</v>
      </c>
      <c r="O44" s="8">
        <v>46152.38787787607</v>
      </c>
      <c r="P44" s="8">
        <v>54459.817695893762</v>
      </c>
      <c r="Q44" s="8">
        <v>64262.584881154638</v>
      </c>
      <c r="S44" s="49">
        <v>0</v>
      </c>
      <c r="T44" s="55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AA44" s="49">
        <v>0</v>
      </c>
      <c r="AB44" s="55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</row>
    <row r="45" spans="2:41" ht="20" customHeight="1" x14ac:dyDescent="0.2">
      <c r="B45" s="45" t="s">
        <v>44</v>
      </c>
      <c r="C45" s="63">
        <v>0</v>
      </c>
      <c r="D45" s="63">
        <v>0</v>
      </c>
      <c r="E45" s="8"/>
      <c r="F45" s="8"/>
      <c r="G45" s="8"/>
      <c r="H45" s="8"/>
      <c r="I45" s="8"/>
      <c r="K45" s="49">
        <v>15000</v>
      </c>
      <c r="L45" s="49">
        <v>15125.259751724137</v>
      </c>
      <c r="M45" s="8">
        <v>17999.059104551721</v>
      </c>
      <c r="N45" s="8">
        <v>21418.880334416546</v>
      </c>
      <c r="O45" s="8">
        <v>25488.467597955689</v>
      </c>
      <c r="P45" s="8">
        <v>30331.276441567268</v>
      </c>
      <c r="Q45" s="8">
        <v>36094.21896546505</v>
      </c>
      <c r="S45" s="49">
        <v>0</v>
      </c>
      <c r="T45" s="55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AA45" s="49">
        <v>0</v>
      </c>
      <c r="AB45" s="55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</row>
    <row r="46" spans="2:41" ht="20" customHeight="1" x14ac:dyDescent="0.2">
      <c r="B46" s="45" t="s">
        <v>45</v>
      </c>
      <c r="C46" s="63">
        <v>0</v>
      </c>
      <c r="D46" s="63">
        <v>0</v>
      </c>
      <c r="E46" s="8"/>
      <c r="F46" s="8"/>
      <c r="G46" s="8"/>
      <c r="H46" s="8"/>
      <c r="I46" s="8"/>
      <c r="K46" s="49">
        <v>0</v>
      </c>
      <c r="L46" s="49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S46" s="49">
        <v>23700</v>
      </c>
      <c r="T46" s="55">
        <v>24565</v>
      </c>
      <c r="U46" s="8">
        <v>29797.345000000001</v>
      </c>
      <c r="V46" s="8">
        <v>37246.681250000001</v>
      </c>
      <c r="W46" s="8">
        <v>47675.752</v>
      </c>
      <c r="X46" s="8">
        <v>63408.750160000003</v>
      </c>
      <c r="Y46" s="8">
        <v>85601.812716000015</v>
      </c>
      <c r="AA46" s="49">
        <v>0</v>
      </c>
      <c r="AB46" s="55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</row>
    <row r="47" spans="2:41" ht="20" customHeight="1" x14ac:dyDescent="0.2">
      <c r="B47" s="45" t="s">
        <v>46</v>
      </c>
      <c r="C47" s="63">
        <v>0</v>
      </c>
      <c r="D47" s="63">
        <v>0</v>
      </c>
      <c r="E47" s="8"/>
      <c r="F47" s="8"/>
      <c r="G47" s="8"/>
      <c r="H47" s="8"/>
      <c r="I47" s="8"/>
      <c r="K47" s="49">
        <v>0</v>
      </c>
      <c r="L47" s="49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S47" s="49">
        <v>0</v>
      </c>
      <c r="T47" s="55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AA47" s="49">
        <v>8500</v>
      </c>
      <c r="AB47" s="55">
        <v>7911.8422222222225</v>
      </c>
      <c r="AC47" s="8">
        <v>8873.1310522222229</v>
      </c>
      <c r="AD47" s="8">
        <v>9951.2164750672218</v>
      </c>
      <c r="AE47" s="8">
        <v>11160.289276787889</v>
      </c>
      <c r="AF47" s="8">
        <v>12516.264423917617</v>
      </c>
      <c r="AG47" s="8">
        <v>14036.990551423607</v>
      </c>
    </row>
    <row r="48" spans="2:41" ht="20" customHeight="1" x14ac:dyDescent="0.2">
      <c r="B48" s="44" t="s">
        <v>47</v>
      </c>
      <c r="C48" s="62">
        <f t="shared" ref="C48:I48" si="3">SUM(C49:C51)</f>
        <v>17350</v>
      </c>
      <c r="D48" s="62">
        <f t="shared" si="3"/>
        <v>17365</v>
      </c>
      <c r="E48" s="48">
        <f t="shared" si="3"/>
        <v>19930.159133000001</v>
      </c>
      <c r="F48" s="48">
        <f t="shared" si="3"/>
        <v>22647.390770630001</v>
      </c>
      <c r="G48" s="48">
        <f t="shared" si="3"/>
        <v>25525.727411000305</v>
      </c>
      <c r="H48" s="48">
        <f t="shared" si="3"/>
        <v>28574.738909499451</v>
      </c>
      <c r="I48" s="48">
        <f t="shared" si="3"/>
        <v>31804.564490600496</v>
      </c>
      <c r="K48" s="48">
        <f t="shared" ref="K48:Q48" si="4">SUM(K49:K51)</f>
        <v>20300</v>
      </c>
      <c r="L48" s="48">
        <f t="shared" si="4"/>
        <v>20311.063095172409</v>
      </c>
      <c r="M48" s="48">
        <f t="shared" si="4"/>
        <v>23322.149237753816</v>
      </c>
      <c r="N48" s="48">
        <f t="shared" si="4"/>
        <v>26794.159469465758</v>
      </c>
      <c r="O48" s="48">
        <f t="shared" si="4"/>
        <v>30798.762075752289</v>
      </c>
      <c r="P48" s="48">
        <f t="shared" si="4"/>
        <v>35418.878574281749</v>
      </c>
      <c r="Q48" s="7">
        <f t="shared" si="4"/>
        <v>40750.464894923331</v>
      </c>
      <c r="S48" s="48">
        <f t="shared" ref="S48:Y48" si="5">SUM(S49:S51)</f>
        <v>14950</v>
      </c>
      <c r="T48" s="48">
        <f t="shared" si="5"/>
        <v>15384</v>
      </c>
      <c r="U48" s="48">
        <f t="shared" si="5"/>
        <v>16634.600000000002</v>
      </c>
      <c r="V48" s="48">
        <f t="shared" si="5"/>
        <v>18042.126</v>
      </c>
      <c r="W48" s="48">
        <f t="shared" si="5"/>
        <v>19636.466060000002</v>
      </c>
      <c r="X48" s="48">
        <f t="shared" si="5"/>
        <v>21454.419648600004</v>
      </c>
      <c r="Y48" s="54">
        <f t="shared" si="5"/>
        <v>23541.391858766005</v>
      </c>
      <c r="AA48" s="48">
        <f t="shared" ref="AA48:AG48" si="6">SUM(AA49:AA51)</f>
        <v>2350</v>
      </c>
      <c r="AB48" s="48">
        <f t="shared" si="6"/>
        <v>2421.0911111111109</v>
      </c>
      <c r="AC48" s="48">
        <f t="shared" si="6"/>
        <v>2569.6429888888888</v>
      </c>
      <c r="AD48" s="48">
        <f t="shared" si="6"/>
        <v>2729.6538122777774</v>
      </c>
      <c r="AE48" s="48">
        <f t="shared" si="6"/>
        <v>2902.2129982747219</v>
      </c>
      <c r="AF48" s="48">
        <f t="shared" si="6"/>
        <v>3088.5278742193068</v>
      </c>
      <c r="AG48" s="54">
        <f t="shared" si="6"/>
        <v>3289.9372515422865</v>
      </c>
    </row>
    <row r="49" spans="2:33" ht="20" customHeight="1" x14ac:dyDescent="0.2">
      <c r="B49" s="45" t="s">
        <v>48</v>
      </c>
      <c r="C49" s="63">
        <v>13710</v>
      </c>
      <c r="D49" s="63">
        <v>13690.913300000004</v>
      </c>
      <c r="E49" s="8">
        <f>($D$49*1.06)+($E$15*12)*1.3/1000</f>
        <v>16072.368098000004</v>
      </c>
      <c r="F49" s="8">
        <f>(E49*1.06)+(F15*12)*1.3/1000</f>
        <v>18596.710183880004</v>
      </c>
      <c r="G49" s="8">
        <f>(F49*1.06)+(G15*12)*1.3/1000</f>
        <v>21272.512794912807</v>
      </c>
      <c r="H49" s="8">
        <f>(G49*1.06)+(H15*12)*1.3/1000</f>
        <v>24108.863562607577</v>
      </c>
      <c r="I49" s="8">
        <f>(H49*1.06)+(I15*12)*1.3/1000</f>
        <v>27115.395376364035</v>
      </c>
      <c r="K49" s="49">
        <v>16000</v>
      </c>
      <c r="L49" s="49">
        <v>16013.648365495837</v>
      </c>
      <c r="M49" s="8">
        <v>18415.69562032021</v>
      </c>
      <c r="N49" s="8">
        <v>21178.049963368241</v>
      </c>
      <c r="O49" s="8">
        <v>24354.757457873475</v>
      </c>
      <c r="P49" s="8">
        <v>28007.971076554495</v>
      </c>
      <c r="Q49" s="8">
        <v>32209.166738037668</v>
      </c>
      <c r="S49" s="49">
        <v>13350</v>
      </c>
      <c r="T49" s="55">
        <v>13540</v>
      </c>
      <c r="U49" s="8">
        <v>14352.400000000001</v>
      </c>
      <c r="V49" s="8">
        <v>15213.544000000002</v>
      </c>
      <c r="W49" s="8">
        <v>16126.356640000002</v>
      </c>
      <c r="X49" s="8">
        <v>17093.938038400003</v>
      </c>
      <c r="Y49" s="8">
        <v>18119.574320704003</v>
      </c>
      <c r="AA49" s="49">
        <v>1800</v>
      </c>
      <c r="AB49" s="55">
        <v>1834.98</v>
      </c>
      <c r="AC49" s="8">
        <v>1917.5540999999998</v>
      </c>
      <c r="AD49" s="8">
        <v>2003.8440344999997</v>
      </c>
      <c r="AE49" s="8">
        <v>2094.0170160524995</v>
      </c>
      <c r="AF49" s="8">
        <v>2188.2477817748618</v>
      </c>
      <c r="AG49" s="8">
        <v>2286.7189319547306</v>
      </c>
    </row>
    <row r="50" spans="2:33" ht="20" customHeight="1" x14ac:dyDescent="0.2">
      <c r="B50" s="45" t="s">
        <v>49</v>
      </c>
      <c r="C50" s="63">
        <v>3450</v>
      </c>
      <c r="D50" s="63">
        <v>3484.7242292215342</v>
      </c>
      <c r="E50" s="8">
        <f t="shared" ref="E50:I51" si="7">D50*1.05</f>
        <v>3658.9604406826111</v>
      </c>
      <c r="F50" s="8">
        <f t="shared" si="7"/>
        <v>3841.9084627167417</v>
      </c>
      <c r="G50" s="8">
        <f t="shared" si="7"/>
        <v>4034.0038858525791</v>
      </c>
      <c r="H50" s="8">
        <f t="shared" si="7"/>
        <v>4235.7040801452085</v>
      </c>
      <c r="I50" s="8">
        <f t="shared" si="7"/>
        <v>4447.4892841524688</v>
      </c>
      <c r="K50" s="49">
        <v>2900</v>
      </c>
      <c r="L50" s="49">
        <v>2979.0653687036552</v>
      </c>
      <c r="M50" s="8">
        <v>3515.5950416071832</v>
      </c>
      <c r="N50" s="8">
        <v>4148.7537086006369</v>
      </c>
      <c r="O50" s="8">
        <v>4895.9442515196115</v>
      </c>
      <c r="P50" s="8">
        <v>5777.7038112182936</v>
      </c>
      <c r="Q50" s="8">
        <v>6818.2682676187078</v>
      </c>
      <c r="S50" s="49">
        <v>1500</v>
      </c>
      <c r="T50" s="55">
        <v>1724</v>
      </c>
      <c r="U50" s="8">
        <v>2155</v>
      </c>
      <c r="V50" s="8">
        <v>2693.75</v>
      </c>
      <c r="W50" s="8">
        <v>3367.1875</v>
      </c>
      <c r="X50" s="8">
        <v>4208.984375</v>
      </c>
      <c r="Y50" s="8">
        <v>5261.23046875</v>
      </c>
      <c r="AA50" s="49">
        <v>500</v>
      </c>
      <c r="AB50" s="55">
        <v>531.66666666666663</v>
      </c>
      <c r="AC50" s="8">
        <v>595.4666666666667</v>
      </c>
      <c r="AD50" s="8">
        <v>666.92266666666671</v>
      </c>
      <c r="AE50" s="8">
        <v>746.9533866666668</v>
      </c>
      <c r="AF50" s="8">
        <v>836.5877930666669</v>
      </c>
      <c r="AG50" s="8">
        <v>936.97832823466706</v>
      </c>
    </row>
    <row r="51" spans="2:33" ht="20" customHeight="1" x14ac:dyDescent="0.2">
      <c r="B51" s="45" t="s">
        <v>50</v>
      </c>
      <c r="C51" s="63">
        <v>190</v>
      </c>
      <c r="D51" s="63">
        <v>189.36247077846184</v>
      </c>
      <c r="E51" s="8">
        <f t="shared" si="7"/>
        <v>198.83059431738494</v>
      </c>
      <c r="F51" s="8">
        <f t="shared" si="7"/>
        <v>208.77212403325419</v>
      </c>
      <c r="G51" s="8">
        <f t="shared" si="7"/>
        <v>219.21073023491689</v>
      </c>
      <c r="H51" s="8">
        <f t="shared" si="7"/>
        <v>230.17126674666275</v>
      </c>
      <c r="I51" s="8">
        <f t="shared" si="7"/>
        <v>241.67983008399591</v>
      </c>
      <c r="K51" s="49">
        <v>1400</v>
      </c>
      <c r="L51" s="49">
        <v>1318.3493609729148</v>
      </c>
      <c r="M51" s="8">
        <v>1390.8585758264251</v>
      </c>
      <c r="N51" s="8">
        <v>1467.3557974968783</v>
      </c>
      <c r="O51" s="8">
        <v>1548.0603663592065</v>
      </c>
      <c r="P51" s="8">
        <v>1633.2036865089626</v>
      </c>
      <c r="Q51" s="8">
        <v>1723.0298892669555</v>
      </c>
      <c r="S51" s="49">
        <v>100</v>
      </c>
      <c r="T51" s="55">
        <v>120</v>
      </c>
      <c r="U51" s="8">
        <v>127.2</v>
      </c>
      <c r="V51" s="8">
        <v>134.83200000000002</v>
      </c>
      <c r="W51" s="8">
        <v>142.92192000000003</v>
      </c>
      <c r="X51" s="8">
        <v>151.49723520000003</v>
      </c>
      <c r="Y51" s="8">
        <v>160.58706931200004</v>
      </c>
      <c r="AA51" s="49">
        <v>50</v>
      </c>
      <c r="AB51" s="55">
        <v>54.444444444444443</v>
      </c>
      <c r="AC51" s="8">
        <v>56.62222222222222</v>
      </c>
      <c r="AD51" s="8">
        <v>58.887111111111111</v>
      </c>
      <c r="AE51" s="8">
        <v>61.24259555555556</v>
      </c>
      <c r="AF51" s="8">
        <v>63.692299377777786</v>
      </c>
      <c r="AG51" s="8">
        <v>66.239991352888893</v>
      </c>
    </row>
    <row r="52" spans="2:33" ht="20" customHeight="1" x14ac:dyDescent="0.2">
      <c r="B52" s="44" t="s">
        <v>51</v>
      </c>
      <c r="C52" s="62">
        <f t="shared" ref="C52:I52" si="8">C42-C48</f>
        <v>34100</v>
      </c>
      <c r="D52" s="62">
        <f t="shared" si="8"/>
        <v>34137</v>
      </c>
      <c r="E52" s="48">
        <f t="shared" si="8"/>
        <v>39393.277933666657</v>
      </c>
      <c r="F52" s="48">
        <f t="shared" si="8"/>
        <v>45685.455962436659</v>
      </c>
      <c r="G52" s="48">
        <f t="shared" si="8"/>
        <v>53184.962683758757</v>
      </c>
      <c r="H52" s="48">
        <f t="shared" si="8"/>
        <v>62090.106211196784</v>
      </c>
      <c r="I52" s="48">
        <f t="shared" si="8"/>
        <v>72630.20806697302</v>
      </c>
      <c r="K52" s="48">
        <f t="shared" ref="K52:Q52" si="9">K42-K48</f>
        <v>22200</v>
      </c>
      <c r="L52" s="48">
        <f t="shared" si="9"/>
        <v>22903.964766896555</v>
      </c>
      <c r="M52" s="48">
        <f t="shared" si="9"/>
        <v>27822.836237004798</v>
      </c>
      <c r="N52" s="48">
        <f t="shared" si="9"/>
        <v>33736.913981794918</v>
      </c>
      <c r="O52" s="48">
        <f t="shared" si="9"/>
        <v>40842.093400079473</v>
      </c>
      <c r="P52" s="48">
        <f t="shared" si="9"/>
        <v>49372.215563179278</v>
      </c>
      <c r="Q52" s="7">
        <f t="shared" si="9"/>
        <v>59606.338951696358</v>
      </c>
      <c r="S52" s="48">
        <f t="shared" ref="S52:Y52" si="10">S42-S48</f>
        <v>8750</v>
      </c>
      <c r="T52" s="48">
        <f t="shared" si="10"/>
        <v>9181</v>
      </c>
      <c r="U52" s="48">
        <f t="shared" si="10"/>
        <v>13162.744999999999</v>
      </c>
      <c r="V52" s="48">
        <f t="shared" si="10"/>
        <v>19204.555250000001</v>
      </c>
      <c r="W52" s="48">
        <f t="shared" si="10"/>
        <v>28039.285939999998</v>
      </c>
      <c r="X52" s="48">
        <f t="shared" si="10"/>
        <v>41954.330511399996</v>
      </c>
      <c r="Y52" s="54">
        <f t="shared" si="10"/>
        <v>62060.420857234014</v>
      </c>
      <c r="AA52" s="48">
        <f t="shared" ref="AA52:AG52" si="11">AA42-AA48</f>
        <v>6150</v>
      </c>
      <c r="AB52" s="48">
        <f t="shared" si="11"/>
        <v>5490.7511111111116</v>
      </c>
      <c r="AC52" s="48">
        <f t="shared" si="11"/>
        <v>6303.4880633333341</v>
      </c>
      <c r="AD52" s="48">
        <f t="shared" si="11"/>
        <v>7221.5626627894444</v>
      </c>
      <c r="AE52" s="48">
        <f t="shared" si="11"/>
        <v>8258.0762785131665</v>
      </c>
      <c r="AF52" s="48">
        <f t="shared" si="11"/>
        <v>9427.7365496983111</v>
      </c>
      <c r="AG52" s="54">
        <f t="shared" si="11"/>
        <v>10747.053299881321</v>
      </c>
    </row>
    <row r="53" spans="2:33" ht="20" customHeight="1" x14ac:dyDescent="0.2">
      <c r="B53" s="44" t="s">
        <v>52</v>
      </c>
      <c r="C53" s="62">
        <f t="shared" ref="C53:I53" si="12">SUM(C54:C58)</f>
        <v>15614</v>
      </c>
      <c r="D53" s="62">
        <f t="shared" si="12"/>
        <v>15549</v>
      </c>
      <c r="E53" s="48">
        <f t="shared" si="12"/>
        <v>16723.396677605942</v>
      </c>
      <c r="F53" s="48">
        <f t="shared" si="12"/>
        <v>17694.80784196109</v>
      </c>
      <c r="G53" s="48">
        <f t="shared" si="12"/>
        <v>18689.512204589199</v>
      </c>
      <c r="H53" s="48">
        <f t="shared" si="12"/>
        <v>19698.537618438939</v>
      </c>
      <c r="I53" s="54">
        <f t="shared" si="12"/>
        <v>20710.006434848034</v>
      </c>
      <c r="K53" s="48">
        <f t="shared" ref="K53:Q53" si="13">SUM(K54:K58)</f>
        <v>13878</v>
      </c>
      <c r="L53" s="48">
        <f t="shared" si="13"/>
        <v>14001.669027310347</v>
      </c>
      <c r="M53" s="48">
        <f t="shared" si="13"/>
        <v>14840.864599843035</v>
      </c>
      <c r="N53" s="48">
        <f t="shared" si="13"/>
        <v>15731.053193187166</v>
      </c>
      <c r="O53" s="48">
        <f t="shared" si="13"/>
        <v>16675.378031989916</v>
      </c>
      <c r="P53" s="48">
        <f t="shared" si="13"/>
        <v>17677.178920849241</v>
      </c>
      <c r="Q53" s="7">
        <f t="shared" si="13"/>
        <v>18740.004715392824</v>
      </c>
      <c r="S53" s="48">
        <f t="shared" ref="S53:Y53" si="14">SUM(S54:S58)</f>
        <v>8749</v>
      </c>
      <c r="T53" s="48">
        <f t="shared" si="14"/>
        <v>9138</v>
      </c>
      <c r="U53" s="48">
        <f t="shared" si="14"/>
        <v>10277.43</v>
      </c>
      <c r="V53" s="48">
        <f t="shared" si="14"/>
        <v>11588.6463</v>
      </c>
      <c r="W53" s="48">
        <f t="shared" si="14"/>
        <v>13100.362713</v>
      </c>
      <c r="X53" s="48">
        <f t="shared" si="14"/>
        <v>14846.314441230001</v>
      </c>
      <c r="Y53" s="54">
        <f t="shared" si="14"/>
        <v>17048.397185455298</v>
      </c>
      <c r="AA53" s="48">
        <f t="shared" ref="AA53:AG53" si="15">SUM(AA54:AA58)</f>
        <v>3945</v>
      </c>
      <c r="AB53" s="48">
        <f t="shared" si="15"/>
        <v>3944.4444444444443</v>
      </c>
      <c r="AC53" s="48">
        <f t="shared" si="15"/>
        <v>4136.4444444444443</v>
      </c>
      <c r="AD53" s="48">
        <f t="shared" si="15"/>
        <v>4338.4894444444444</v>
      </c>
      <c r="AE53" s="48">
        <f t="shared" si="15"/>
        <v>4551.1619194444438</v>
      </c>
      <c r="AF53" s="48">
        <f t="shared" si="15"/>
        <v>4775.0824563194437</v>
      </c>
      <c r="AG53" s="54">
        <f t="shared" si="15"/>
        <v>5010.9125462988186</v>
      </c>
    </row>
    <row r="54" spans="2:33" ht="20" customHeight="1" x14ac:dyDescent="0.2">
      <c r="B54" s="45" t="s">
        <v>53</v>
      </c>
      <c r="C54" s="63">
        <v>7400</v>
      </c>
      <c r="D54" s="63">
        <v>7405.166666666667</v>
      </c>
      <c r="E54" s="8">
        <f>D54*1.06</f>
        <v>7849.4766666666674</v>
      </c>
      <c r="F54" s="8">
        <f>E54*1.06</f>
        <v>8320.4452666666675</v>
      </c>
      <c r="G54" s="8">
        <f>F54*1.06</f>
        <v>8819.6719826666686</v>
      </c>
      <c r="H54" s="8">
        <f>G54*1.06</f>
        <v>9348.8523016266699</v>
      </c>
      <c r="I54" s="8">
        <f>H54*1.06</f>
        <v>9909.7834397242714</v>
      </c>
      <c r="K54" s="49">
        <v>4600</v>
      </c>
      <c r="L54" s="49">
        <v>4606.9184020413795</v>
      </c>
      <c r="M54" s="8">
        <v>4929.4026901842763</v>
      </c>
      <c r="N54" s="8">
        <v>5274.4608784971761</v>
      </c>
      <c r="O54" s="8">
        <v>5643.673139991979</v>
      </c>
      <c r="P54" s="8">
        <v>6038.7302597914177</v>
      </c>
      <c r="Q54" s="8">
        <v>6461.4413779768174</v>
      </c>
      <c r="S54" s="49">
        <v>2700</v>
      </c>
      <c r="T54" s="55">
        <v>2715</v>
      </c>
      <c r="U54" s="8">
        <v>2905.05</v>
      </c>
      <c r="V54" s="8">
        <v>3108.4035000000003</v>
      </c>
      <c r="W54" s="8">
        <v>3325.9917450000007</v>
      </c>
      <c r="X54" s="8">
        <v>3558.811167150001</v>
      </c>
      <c r="Y54" s="8">
        <v>3807.9279488505013</v>
      </c>
      <c r="AA54" s="49">
        <v>3180</v>
      </c>
      <c r="AB54" s="55">
        <v>3177.7777777777778</v>
      </c>
      <c r="AC54" s="8">
        <v>3320.7777777777778</v>
      </c>
      <c r="AD54" s="8">
        <v>3470.2127777777778</v>
      </c>
      <c r="AE54" s="8">
        <v>3626.3723527777775</v>
      </c>
      <c r="AF54" s="8">
        <v>3789.559108652777</v>
      </c>
      <c r="AG54" s="8">
        <v>3960.0892685421518</v>
      </c>
    </row>
    <row r="55" spans="2:33" ht="20" customHeight="1" x14ac:dyDescent="0.2">
      <c r="B55" s="45" t="s">
        <v>54</v>
      </c>
      <c r="C55" s="63">
        <v>864</v>
      </c>
      <c r="D55" s="63">
        <v>863.83333333333314</v>
      </c>
      <c r="E55" s="8">
        <f>D55*1.05</f>
        <v>907.02499999999986</v>
      </c>
      <c r="F55" s="8">
        <f>E55*1.05</f>
        <v>952.37624999999991</v>
      </c>
      <c r="G55" s="8">
        <f>F55*1.05</f>
        <v>999.9950624999999</v>
      </c>
      <c r="H55" s="8">
        <f>G55*1.05</f>
        <v>1049.994815625</v>
      </c>
      <c r="I55" s="8">
        <f>H55*1.05</f>
        <v>1102.49455640625</v>
      </c>
      <c r="K55" s="49">
        <v>778</v>
      </c>
      <c r="L55" s="49">
        <v>777.87050151724145</v>
      </c>
      <c r="M55" s="8">
        <v>820.65337910068968</v>
      </c>
      <c r="N55" s="8">
        <v>865.78931495122754</v>
      </c>
      <c r="O55" s="8">
        <v>913.40772727354499</v>
      </c>
      <c r="P55" s="8">
        <v>963.64515227358993</v>
      </c>
      <c r="Q55" s="8">
        <v>1016.6456356486373</v>
      </c>
      <c r="S55" s="49">
        <v>549</v>
      </c>
      <c r="T55" s="55">
        <v>549</v>
      </c>
      <c r="U55" s="8">
        <v>581.94000000000005</v>
      </c>
      <c r="V55" s="8">
        <v>616.85640000000012</v>
      </c>
      <c r="W55" s="8">
        <v>653.86778400000014</v>
      </c>
      <c r="X55" s="8">
        <v>693.0998510400002</v>
      </c>
      <c r="Y55" s="8">
        <v>734.68584210240022</v>
      </c>
      <c r="AA55" s="49">
        <v>200</v>
      </c>
      <c r="AB55" s="55">
        <v>200</v>
      </c>
      <c r="AC55" s="8">
        <v>208</v>
      </c>
      <c r="AD55" s="8">
        <v>216.32</v>
      </c>
      <c r="AE55" s="8">
        <v>224.97280000000001</v>
      </c>
      <c r="AF55" s="8">
        <v>233.97171200000003</v>
      </c>
      <c r="AG55" s="8">
        <v>243.33058048000004</v>
      </c>
    </row>
    <row r="56" spans="2:33" ht="20" customHeight="1" x14ac:dyDescent="0.2">
      <c r="B56" s="45" t="s">
        <v>55</v>
      </c>
      <c r="C56" s="63">
        <v>3800</v>
      </c>
      <c r="D56" s="63">
        <v>3767</v>
      </c>
      <c r="E56" s="8">
        <f>E17*E18/1000</f>
        <v>4278.2450109392785</v>
      </c>
      <c r="F56" s="8">
        <f>F17*F18/1000</f>
        <v>4548.9038252944247</v>
      </c>
      <c r="G56" s="8">
        <f>G17*G18/1000</f>
        <v>4803.1085344225276</v>
      </c>
      <c r="H56" s="8">
        <f>H17*H18/1000</f>
        <v>5029.6170449372694</v>
      </c>
      <c r="I56" s="8">
        <f>I17*I18/1000</f>
        <v>5214.1513096550098</v>
      </c>
      <c r="K56" s="49">
        <v>6800</v>
      </c>
      <c r="L56" s="49">
        <v>6871.1894300689673</v>
      </c>
      <c r="M56" s="8">
        <v>7249.1048487227599</v>
      </c>
      <c r="N56" s="8">
        <v>7647.8056154025116</v>
      </c>
      <c r="O56" s="8">
        <v>8068.4349242496492</v>
      </c>
      <c r="P56" s="8">
        <v>8512.1988450833796</v>
      </c>
      <c r="Q56" s="8">
        <v>8980.3697815629657</v>
      </c>
      <c r="S56" s="49">
        <v>4400</v>
      </c>
      <c r="T56" s="55">
        <v>4700</v>
      </c>
      <c r="U56" s="8">
        <v>5546</v>
      </c>
      <c r="V56" s="8">
        <v>6544.28</v>
      </c>
      <c r="W56" s="8">
        <v>7722.250399999999</v>
      </c>
      <c r="X56" s="8">
        <v>9112.2554719999989</v>
      </c>
      <c r="Y56" s="8">
        <v>10934.706566399998</v>
      </c>
      <c r="AA56" s="49">
        <v>360</v>
      </c>
      <c r="AB56" s="55">
        <v>366.66666666666669</v>
      </c>
      <c r="AC56" s="8">
        <v>399.66666666666674</v>
      </c>
      <c r="AD56" s="8">
        <v>435.63666666666677</v>
      </c>
      <c r="AE56" s="8">
        <v>474.8439666666668</v>
      </c>
      <c r="AF56" s="8">
        <v>517.5799236666669</v>
      </c>
      <c r="AG56" s="8">
        <v>564.16211679666696</v>
      </c>
    </row>
    <row r="57" spans="2:33" ht="20" customHeight="1" x14ac:dyDescent="0.2">
      <c r="B57" s="45" t="s">
        <v>49</v>
      </c>
      <c r="C57" s="63">
        <v>2350</v>
      </c>
      <c r="D57" s="63">
        <v>2331</v>
      </c>
      <c r="E57" s="8">
        <f t="shared" ref="E57:I58" si="16">D57*1.05</f>
        <v>2447.5500000000002</v>
      </c>
      <c r="F57" s="8">
        <f t="shared" si="16"/>
        <v>2569.9275000000002</v>
      </c>
      <c r="G57" s="8">
        <f t="shared" si="16"/>
        <v>2698.4238750000004</v>
      </c>
      <c r="H57" s="8">
        <f t="shared" si="16"/>
        <v>2833.3450687500003</v>
      </c>
      <c r="I57" s="8">
        <f t="shared" si="16"/>
        <v>2975.0123221875006</v>
      </c>
      <c r="K57" s="49">
        <v>1500</v>
      </c>
      <c r="L57" s="49">
        <v>1555.7410030344829</v>
      </c>
      <c r="M57" s="8">
        <v>1641.3067582013794</v>
      </c>
      <c r="N57" s="8">
        <v>1731.5786299024551</v>
      </c>
      <c r="O57" s="8">
        <v>1826.81545454709</v>
      </c>
      <c r="P57" s="8">
        <v>1927.2903045471799</v>
      </c>
      <c r="Q57" s="8">
        <v>2033.2912712972745</v>
      </c>
      <c r="S57" s="49">
        <v>1000</v>
      </c>
      <c r="T57" s="55">
        <v>1024</v>
      </c>
      <c r="U57" s="8">
        <v>1085.44</v>
      </c>
      <c r="V57" s="8">
        <v>1150.5664000000002</v>
      </c>
      <c r="W57" s="8">
        <v>1219.6003840000003</v>
      </c>
      <c r="X57" s="8">
        <v>1292.7764070400003</v>
      </c>
      <c r="Y57" s="8">
        <v>1370.3429914624005</v>
      </c>
      <c r="AA57" s="49">
        <v>200</v>
      </c>
      <c r="AB57" s="55">
        <v>196</v>
      </c>
      <c r="AC57" s="8">
        <v>203.84</v>
      </c>
      <c r="AD57" s="8">
        <v>211.99360000000001</v>
      </c>
      <c r="AE57" s="8">
        <v>220.47334400000003</v>
      </c>
      <c r="AF57" s="8">
        <v>229.29227776000005</v>
      </c>
      <c r="AG57" s="8">
        <v>238.46396887040007</v>
      </c>
    </row>
    <row r="58" spans="2:33" ht="20" customHeight="1" x14ac:dyDescent="0.2">
      <c r="B58" s="45" t="s">
        <v>50</v>
      </c>
      <c r="C58" s="63">
        <v>1200</v>
      </c>
      <c r="D58" s="63">
        <v>1182</v>
      </c>
      <c r="E58" s="8">
        <f t="shared" si="16"/>
        <v>1241.1000000000001</v>
      </c>
      <c r="F58" s="8">
        <f t="shared" si="16"/>
        <v>1303.1550000000002</v>
      </c>
      <c r="G58" s="8">
        <f t="shared" si="16"/>
        <v>1368.3127500000003</v>
      </c>
      <c r="H58" s="8">
        <f t="shared" si="16"/>
        <v>1436.7283875000003</v>
      </c>
      <c r="I58" s="8">
        <f t="shared" si="16"/>
        <v>1508.5648068750004</v>
      </c>
      <c r="J58" s="8">
        <f>I58*1.05</f>
        <v>1583.9930472187505</v>
      </c>
      <c r="K58" s="49">
        <v>200</v>
      </c>
      <c r="L58" s="49">
        <v>189.94969064827515</v>
      </c>
      <c r="M58" s="8">
        <v>200.39692363393027</v>
      </c>
      <c r="N58" s="8">
        <v>211.41875443379644</v>
      </c>
      <c r="O58" s="8">
        <v>223.04678592765524</v>
      </c>
      <c r="P58" s="8">
        <v>235.31435915367626</v>
      </c>
      <c r="Q58" s="8">
        <v>248.25664890712844</v>
      </c>
      <c r="S58" s="49">
        <v>100</v>
      </c>
      <c r="T58" s="55">
        <v>150</v>
      </c>
      <c r="U58" s="8">
        <v>159</v>
      </c>
      <c r="V58" s="8">
        <v>168.54000000000002</v>
      </c>
      <c r="W58" s="8">
        <v>178.65240000000003</v>
      </c>
      <c r="X58" s="8">
        <v>189.37154400000003</v>
      </c>
      <c r="Y58" s="8">
        <v>200.73383664000005</v>
      </c>
      <c r="AA58" s="49">
        <v>5</v>
      </c>
      <c r="AB58" s="55">
        <v>4</v>
      </c>
      <c r="AC58" s="8">
        <v>4.16</v>
      </c>
      <c r="AD58" s="8">
        <v>4.3264000000000005</v>
      </c>
      <c r="AE58" s="8">
        <v>4.4994560000000003</v>
      </c>
      <c r="AF58" s="8">
        <v>4.6794342400000009</v>
      </c>
      <c r="AG58" s="8">
        <v>4.8666116096000014</v>
      </c>
    </row>
    <row r="59" spans="2:33" ht="20" customHeight="1" x14ac:dyDescent="0.2">
      <c r="B59" s="44" t="s">
        <v>56</v>
      </c>
      <c r="C59" s="62">
        <f t="shared" ref="C59:I59" si="17">C52-C53</f>
        <v>18486</v>
      </c>
      <c r="D59" s="62">
        <f t="shared" si="17"/>
        <v>18588</v>
      </c>
      <c r="E59" s="48">
        <f t="shared" si="17"/>
        <v>22669.881256060715</v>
      </c>
      <c r="F59" s="48">
        <f t="shared" si="17"/>
        <v>27990.648120475569</v>
      </c>
      <c r="G59" s="48">
        <f t="shared" si="17"/>
        <v>34495.450479169558</v>
      </c>
      <c r="H59" s="48">
        <f t="shared" si="17"/>
        <v>42391.568592757845</v>
      </c>
      <c r="I59" s="48">
        <f t="shared" si="17"/>
        <v>51920.201632124983</v>
      </c>
      <c r="K59" s="48">
        <f t="shared" ref="K59:Q59" si="18">K52-K53</f>
        <v>8322</v>
      </c>
      <c r="L59" s="48">
        <f t="shared" si="18"/>
        <v>8902.2957395862086</v>
      </c>
      <c r="M59" s="48">
        <f t="shared" si="18"/>
        <v>12981.971637161763</v>
      </c>
      <c r="N59" s="48">
        <f t="shared" si="18"/>
        <v>18005.860788607752</v>
      </c>
      <c r="O59" s="48">
        <f t="shared" si="18"/>
        <v>24166.715368089557</v>
      </c>
      <c r="P59" s="48">
        <f t="shared" si="18"/>
        <v>31695.036642330037</v>
      </c>
      <c r="Q59" s="7">
        <f t="shared" si="18"/>
        <v>40866.334236303534</v>
      </c>
      <c r="S59" s="48">
        <f t="shared" ref="S59:Y59" si="19">S52-S53</f>
        <v>1</v>
      </c>
      <c r="T59" s="48">
        <f t="shared" si="19"/>
        <v>43</v>
      </c>
      <c r="U59" s="48">
        <f t="shared" si="19"/>
        <v>2885.3149999999987</v>
      </c>
      <c r="V59" s="48">
        <f t="shared" si="19"/>
        <v>7615.9089500000009</v>
      </c>
      <c r="W59" s="48">
        <f t="shared" si="19"/>
        <v>14938.923226999997</v>
      </c>
      <c r="X59" s="48">
        <f t="shared" si="19"/>
        <v>27108.016070169993</v>
      </c>
      <c r="Y59" s="54">
        <f t="shared" si="19"/>
        <v>45012.023671778719</v>
      </c>
      <c r="AA59" s="48">
        <f t="shared" ref="AA59:AG59" si="20">AA52-AA53</f>
        <v>2205</v>
      </c>
      <c r="AB59" s="48">
        <f t="shared" si="20"/>
        <v>1546.3066666666673</v>
      </c>
      <c r="AC59" s="48">
        <f t="shared" si="20"/>
        <v>2167.0436188888898</v>
      </c>
      <c r="AD59" s="48">
        <f t="shared" si="20"/>
        <v>2883.073218345</v>
      </c>
      <c r="AE59" s="48">
        <f t="shared" si="20"/>
        <v>3706.9143590687227</v>
      </c>
      <c r="AF59" s="48">
        <f t="shared" si="20"/>
        <v>4652.6540933788674</v>
      </c>
      <c r="AG59" s="54">
        <f t="shared" si="20"/>
        <v>5736.1407535825028</v>
      </c>
    </row>
    <row r="60" spans="2:33" ht="20" customHeight="1" x14ac:dyDescent="0.2">
      <c r="B60" s="44" t="s">
        <v>57</v>
      </c>
      <c r="C60" s="62">
        <f t="shared" ref="C60:I60" si="21">SUM(C61:C62)</f>
        <v>359</v>
      </c>
      <c r="D60" s="62">
        <f t="shared" si="21"/>
        <v>385</v>
      </c>
      <c r="E60" s="48">
        <f t="shared" si="21"/>
        <v>398.8</v>
      </c>
      <c r="F60" s="48">
        <f t="shared" si="21"/>
        <v>413.29</v>
      </c>
      <c r="G60" s="48">
        <f t="shared" si="21"/>
        <v>428.50450000000001</v>
      </c>
      <c r="H60" s="48">
        <f t="shared" si="21"/>
        <v>444.47972500000003</v>
      </c>
      <c r="I60" s="48">
        <f t="shared" si="21"/>
        <v>461.25371125000004</v>
      </c>
      <c r="K60" s="48">
        <f t="shared" ref="K60:Q60" si="22">SUM(K61:K62)</f>
        <v>619</v>
      </c>
      <c r="L60" s="48">
        <f t="shared" si="22"/>
        <v>668.71227586206896</v>
      </c>
      <c r="M60" s="48">
        <f t="shared" si="22"/>
        <v>679.71227586206896</v>
      </c>
      <c r="N60" s="48">
        <f t="shared" si="22"/>
        <v>691.31727586206898</v>
      </c>
      <c r="O60" s="48">
        <f t="shared" si="22"/>
        <v>703.56055086206902</v>
      </c>
      <c r="P60" s="48">
        <f t="shared" si="22"/>
        <v>716.47720598706894</v>
      </c>
      <c r="Q60" s="7">
        <f t="shared" si="22"/>
        <v>730.10427714394393</v>
      </c>
      <c r="S60" s="48">
        <f t="shared" ref="S60:Y60" si="23">SUM(S61:S62)</f>
        <v>800</v>
      </c>
      <c r="T60" s="48">
        <f t="shared" si="23"/>
        <v>803</v>
      </c>
      <c r="U60" s="48">
        <f t="shared" si="23"/>
        <v>803.48</v>
      </c>
      <c r="V60" s="48">
        <f t="shared" si="23"/>
        <v>803.98879999999997</v>
      </c>
      <c r="W60" s="48">
        <f t="shared" si="23"/>
        <v>804.52812800000004</v>
      </c>
      <c r="X60" s="48">
        <f t="shared" si="23"/>
        <v>805.09981568000001</v>
      </c>
      <c r="Y60" s="54">
        <f t="shared" si="23"/>
        <v>805.7058046208</v>
      </c>
      <c r="AA60" s="48">
        <f t="shared" ref="AA60:AG60" si="24">SUM(AA61:AA62)</f>
        <v>10</v>
      </c>
      <c r="AB60" s="48">
        <f t="shared" si="24"/>
        <v>15</v>
      </c>
      <c r="AC60" s="48">
        <f t="shared" si="24"/>
        <v>15.600000000000001</v>
      </c>
      <c r="AD60" s="48">
        <f t="shared" si="24"/>
        <v>16.224000000000004</v>
      </c>
      <c r="AE60" s="48">
        <f t="shared" si="24"/>
        <v>16.872960000000006</v>
      </c>
      <c r="AF60" s="48">
        <f t="shared" si="24"/>
        <v>17.547878400000005</v>
      </c>
      <c r="AG60" s="54">
        <f t="shared" si="24"/>
        <v>18.249793536000006</v>
      </c>
    </row>
    <row r="61" spans="2:33" ht="20" customHeight="1" x14ac:dyDescent="0.2">
      <c r="B61" s="45" t="s">
        <v>58</v>
      </c>
      <c r="C61" s="63">
        <v>109</v>
      </c>
      <c r="D61" s="63">
        <v>109</v>
      </c>
      <c r="E61" s="63">
        <v>109</v>
      </c>
      <c r="F61" s="63">
        <v>109</v>
      </c>
      <c r="G61" s="63">
        <v>109</v>
      </c>
      <c r="H61" s="63">
        <v>109</v>
      </c>
      <c r="I61" s="63">
        <v>109</v>
      </c>
      <c r="K61" s="49">
        <v>469</v>
      </c>
      <c r="L61" s="49">
        <v>468.71227586206902</v>
      </c>
      <c r="M61" s="8">
        <v>468.71227586206902</v>
      </c>
      <c r="N61" s="8">
        <v>468.71227586206902</v>
      </c>
      <c r="O61" s="8">
        <v>468.71227586206902</v>
      </c>
      <c r="P61" s="8">
        <v>468.71227586206902</v>
      </c>
      <c r="Q61" s="8">
        <v>468.71227586206902</v>
      </c>
      <c r="S61" s="49">
        <v>795</v>
      </c>
      <c r="T61" s="55">
        <v>795</v>
      </c>
      <c r="U61" s="8">
        <v>795</v>
      </c>
      <c r="V61" s="8">
        <v>795</v>
      </c>
      <c r="W61" s="8">
        <v>795</v>
      </c>
      <c r="X61" s="8">
        <v>795</v>
      </c>
      <c r="Y61" s="8">
        <v>795</v>
      </c>
      <c r="AA61" s="49">
        <v>0</v>
      </c>
      <c r="AB61" s="55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</row>
    <row r="62" spans="2:33" ht="20" customHeight="1" x14ac:dyDescent="0.2">
      <c r="B62" s="45" t="s">
        <v>59</v>
      </c>
      <c r="C62" s="63">
        <v>250</v>
      </c>
      <c r="D62" s="63">
        <v>276</v>
      </c>
      <c r="E62" s="8">
        <f>D62*1.05</f>
        <v>289.8</v>
      </c>
      <c r="F62" s="8">
        <f>E62*1.05</f>
        <v>304.29000000000002</v>
      </c>
      <c r="G62" s="8">
        <f>F62*1.05</f>
        <v>319.50450000000001</v>
      </c>
      <c r="H62" s="8">
        <f>G62*1.05</f>
        <v>335.47972500000003</v>
      </c>
      <c r="I62" s="8">
        <f>H62*1.05</f>
        <v>352.25371125000004</v>
      </c>
      <c r="K62" s="49">
        <v>150</v>
      </c>
      <c r="L62" s="49">
        <v>200</v>
      </c>
      <c r="M62" s="8">
        <v>211</v>
      </c>
      <c r="N62" s="8">
        <v>222.60499999999999</v>
      </c>
      <c r="O62" s="8">
        <v>234.84827499999997</v>
      </c>
      <c r="P62" s="8">
        <v>247.76493012499995</v>
      </c>
      <c r="Q62" s="8">
        <v>261.39200128187491</v>
      </c>
      <c r="S62" s="49">
        <v>5</v>
      </c>
      <c r="T62" s="55">
        <v>8</v>
      </c>
      <c r="U62" s="8">
        <v>8.48</v>
      </c>
      <c r="V62" s="8">
        <v>8.9888000000000012</v>
      </c>
      <c r="W62" s="8">
        <v>9.5281280000000024</v>
      </c>
      <c r="X62" s="8">
        <v>10.099815680000003</v>
      </c>
      <c r="Y62" s="8">
        <v>10.705804620800004</v>
      </c>
      <c r="AA62" s="49">
        <v>10</v>
      </c>
      <c r="AB62" s="55">
        <v>15</v>
      </c>
      <c r="AC62" s="8">
        <v>15.600000000000001</v>
      </c>
      <c r="AD62" s="8">
        <v>16.224000000000004</v>
      </c>
      <c r="AE62" s="8">
        <v>16.872960000000006</v>
      </c>
      <c r="AF62" s="8">
        <v>17.547878400000005</v>
      </c>
      <c r="AG62" s="8">
        <v>18.249793536000006</v>
      </c>
    </row>
    <row r="63" spans="2:33" ht="20" customHeight="1" x14ac:dyDescent="0.2">
      <c r="B63" s="44" t="s">
        <v>60</v>
      </c>
      <c r="C63" s="62">
        <f t="shared" ref="C63:I63" si="25">SUM(C64:C65)</f>
        <v>101</v>
      </c>
      <c r="D63" s="62">
        <f t="shared" si="25"/>
        <v>100</v>
      </c>
      <c r="E63" s="48">
        <f t="shared" si="25"/>
        <v>102.45</v>
      </c>
      <c r="F63" s="48">
        <f t="shared" si="25"/>
        <v>54.022500000000008</v>
      </c>
      <c r="G63" s="48">
        <f t="shared" si="25"/>
        <v>56.723625000000013</v>
      </c>
      <c r="H63" s="48">
        <f t="shared" si="25"/>
        <v>59.559806250000015</v>
      </c>
      <c r="I63" s="48">
        <f t="shared" si="25"/>
        <v>62.53779656250002</v>
      </c>
      <c r="K63" s="48">
        <f t="shared" ref="K63:Q63" si="26">SUM(K64:K65)</f>
        <v>80</v>
      </c>
      <c r="L63" s="48">
        <f t="shared" si="26"/>
        <v>100</v>
      </c>
      <c r="M63" s="48">
        <f t="shared" si="26"/>
        <v>105.5</v>
      </c>
      <c r="N63" s="48">
        <f t="shared" si="26"/>
        <v>111.30249999999999</v>
      </c>
      <c r="O63" s="48">
        <f t="shared" si="26"/>
        <v>117.42413749999999</v>
      </c>
      <c r="P63" s="48">
        <f t="shared" si="26"/>
        <v>123.88246506249997</v>
      </c>
      <c r="Q63" s="7">
        <f t="shared" si="26"/>
        <v>130.69600064093746</v>
      </c>
      <c r="S63" s="48">
        <f t="shared" ref="S63:Y63" si="27">SUM(S64:S65)</f>
        <v>5</v>
      </c>
      <c r="T63" s="48">
        <f t="shared" si="27"/>
        <v>10</v>
      </c>
      <c r="U63" s="48">
        <f t="shared" si="27"/>
        <v>10.600000000000001</v>
      </c>
      <c r="V63" s="48">
        <f t="shared" si="27"/>
        <v>11.236000000000002</v>
      </c>
      <c r="W63" s="48">
        <f t="shared" si="27"/>
        <v>11.910160000000003</v>
      </c>
      <c r="X63" s="48">
        <f t="shared" si="27"/>
        <v>12.624769600000004</v>
      </c>
      <c r="Y63" s="54">
        <f t="shared" si="27"/>
        <v>13.382255776000004</v>
      </c>
      <c r="AA63" s="48">
        <f t="shared" ref="AA63:AG63" si="28">SUM(AA64:AA65)</f>
        <v>10</v>
      </c>
      <c r="AB63" s="48">
        <f t="shared" si="28"/>
        <v>12</v>
      </c>
      <c r="AC63" s="48">
        <f t="shared" si="28"/>
        <v>12.48</v>
      </c>
      <c r="AD63" s="48">
        <f t="shared" si="28"/>
        <v>12.979200000000001</v>
      </c>
      <c r="AE63" s="48">
        <f t="shared" si="28"/>
        <v>13.498368000000001</v>
      </c>
      <c r="AF63" s="48">
        <f t="shared" si="28"/>
        <v>14.038302720000001</v>
      </c>
      <c r="AG63" s="54">
        <f t="shared" si="28"/>
        <v>14.599834828800001</v>
      </c>
    </row>
    <row r="64" spans="2:33" ht="20" customHeight="1" x14ac:dyDescent="0.2">
      <c r="B64" s="45" t="s">
        <v>61</v>
      </c>
      <c r="C64" s="63">
        <v>51</v>
      </c>
      <c r="D64" s="63">
        <v>51</v>
      </c>
      <c r="E64" s="8">
        <f>D64</f>
        <v>51</v>
      </c>
      <c r="F64" s="8">
        <v>0</v>
      </c>
      <c r="G64" s="8">
        <v>0</v>
      </c>
      <c r="H64" s="8">
        <v>0</v>
      </c>
      <c r="I64" s="8">
        <v>0</v>
      </c>
      <c r="K64" s="49">
        <v>0</v>
      </c>
      <c r="L64" s="49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S64" s="49">
        <v>0</v>
      </c>
      <c r="T64" s="55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AA64" s="49">
        <v>0</v>
      </c>
      <c r="AB64" s="55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</row>
    <row r="65" spans="1:33" ht="20" customHeight="1" x14ac:dyDescent="0.2">
      <c r="B65" s="45" t="s">
        <v>50</v>
      </c>
      <c r="C65" s="63">
        <v>50</v>
      </c>
      <c r="D65" s="63">
        <v>49</v>
      </c>
      <c r="E65" s="8">
        <f>D65*1.05</f>
        <v>51.45</v>
      </c>
      <c r="F65" s="8">
        <f>E65*1.05</f>
        <v>54.022500000000008</v>
      </c>
      <c r="G65" s="8">
        <f>F65*1.05</f>
        <v>56.723625000000013</v>
      </c>
      <c r="H65" s="8">
        <f>G65*1.05</f>
        <v>59.559806250000015</v>
      </c>
      <c r="I65" s="8">
        <f>H65*1.05</f>
        <v>62.53779656250002</v>
      </c>
      <c r="K65" s="49">
        <v>80</v>
      </c>
      <c r="L65" s="49">
        <v>100</v>
      </c>
      <c r="M65" s="8">
        <v>105.5</v>
      </c>
      <c r="N65" s="8">
        <v>111.30249999999999</v>
      </c>
      <c r="O65" s="8">
        <v>117.42413749999999</v>
      </c>
      <c r="P65" s="8">
        <v>123.88246506249997</v>
      </c>
      <c r="Q65" s="8">
        <v>130.69600064093746</v>
      </c>
      <c r="S65" s="49">
        <v>5</v>
      </c>
      <c r="T65" s="55">
        <v>10</v>
      </c>
      <c r="U65" s="8">
        <v>10.600000000000001</v>
      </c>
      <c r="V65" s="8">
        <v>11.236000000000002</v>
      </c>
      <c r="W65" s="8">
        <v>11.910160000000003</v>
      </c>
      <c r="X65" s="8">
        <v>12.624769600000004</v>
      </c>
      <c r="Y65" s="8">
        <v>13.382255776000004</v>
      </c>
      <c r="AA65" s="49">
        <v>10</v>
      </c>
      <c r="AB65" s="55">
        <v>12</v>
      </c>
      <c r="AC65" s="8">
        <v>12.48</v>
      </c>
      <c r="AD65" s="8">
        <v>12.979200000000001</v>
      </c>
      <c r="AE65" s="8">
        <v>13.498368000000001</v>
      </c>
      <c r="AF65" s="8">
        <v>14.038302720000001</v>
      </c>
      <c r="AG65" s="8">
        <v>14.599834828800001</v>
      </c>
    </row>
    <row r="66" spans="1:33" ht="20" customHeight="1" x14ac:dyDescent="0.2">
      <c r="B66" s="44" t="s">
        <v>62</v>
      </c>
      <c r="C66" s="62">
        <f t="shared" ref="C66:I66" si="29">C59+C60-C63</f>
        <v>18744</v>
      </c>
      <c r="D66" s="62">
        <f t="shared" si="29"/>
        <v>18873</v>
      </c>
      <c r="E66" s="48">
        <f t="shared" si="29"/>
        <v>22966.231256060713</v>
      </c>
      <c r="F66" s="48">
        <f t="shared" si="29"/>
        <v>28349.915620475571</v>
      </c>
      <c r="G66" s="48">
        <f t="shared" si="29"/>
        <v>34867.231354169562</v>
      </c>
      <c r="H66" s="48">
        <f t="shared" si="29"/>
        <v>42776.488511507843</v>
      </c>
      <c r="I66" s="48">
        <f t="shared" si="29"/>
        <v>52318.917546812481</v>
      </c>
      <c r="K66" s="48">
        <f t="shared" ref="K66:Q66" si="30">K59+K60-K63</f>
        <v>8861</v>
      </c>
      <c r="L66" s="48">
        <f t="shared" si="30"/>
        <v>9471.0080154482785</v>
      </c>
      <c r="M66" s="48">
        <f t="shared" si="30"/>
        <v>13556.183913023833</v>
      </c>
      <c r="N66" s="48">
        <f t="shared" si="30"/>
        <v>18585.875564469818</v>
      </c>
      <c r="O66" s="48">
        <f t="shared" si="30"/>
        <v>24752.851781451627</v>
      </c>
      <c r="P66" s="48">
        <f t="shared" si="30"/>
        <v>32287.631383254607</v>
      </c>
      <c r="Q66" s="7">
        <f t="shared" si="30"/>
        <v>41465.742512806544</v>
      </c>
      <c r="S66" s="48">
        <f t="shared" ref="S66:Y66" si="31">S59+S60-S63</f>
        <v>796</v>
      </c>
      <c r="T66" s="48">
        <f t="shared" si="31"/>
        <v>836</v>
      </c>
      <c r="U66" s="48">
        <f t="shared" si="31"/>
        <v>3678.1949999999988</v>
      </c>
      <c r="V66" s="48">
        <f t="shared" si="31"/>
        <v>8408.6617499999993</v>
      </c>
      <c r="W66" s="48">
        <f t="shared" si="31"/>
        <v>15731.541194999998</v>
      </c>
      <c r="X66" s="48">
        <f t="shared" si="31"/>
        <v>27900.491116249996</v>
      </c>
      <c r="Y66" s="54">
        <f t="shared" si="31"/>
        <v>45804.347220623516</v>
      </c>
      <c r="AA66" s="48">
        <f t="shared" ref="AA66:AG66" si="32">AA59+AA60-AA63</f>
        <v>2205</v>
      </c>
      <c r="AB66" s="48">
        <f t="shared" si="32"/>
        <v>1549.3066666666673</v>
      </c>
      <c r="AC66" s="48">
        <f t="shared" si="32"/>
        <v>2170.1636188888897</v>
      </c>
      <c r="AD66" s="48">
        <f t="shared" si="32"/>
        <v>2886.3180183449999</v>
      </c>
      <c r="AE66" s="48">
        <f t="shared" si="32"/>
        <v>3710.2889510687228</v>
      </c>
      <c r="AF66" s="48">
        <f t="shared" si="32"/>
        <v>4656.1636690588675</v>
      </c>
      <c r="AG66" s="54">
        <f t="shared" si="32"/>
        <v>5739.7907122897022</v>
      </c>
    </row>
    <row r="67" spans="1:33" ht="20" customHeight="1" x14ac:dyDescent="0.2">
      <c r="B67" s="44" t="s">
        <v>63</v>
      </c>
      <c r="C67" s="7">
        <f t="shared" ref="C67:I67" si="33">C66*25%</f>
        <v>4686</v>
      </c>
      <c r="D67" s="7">
        <f t="shared" si="33"/>
        <v>4718.25</v>
      </c>
      <c r="E67" s="7">
        <f t="shared" si="33"/>
        <v>5741.5578140151783</v>
      </c>
      <c r="F67" s="7">
        <f t="shared" si="33"/>
        <v>7087.4789051188927</v>
      </c>
      <c r="G67" s="7">
        <f t="shared" si="33"/>
        <v>8716.8078385423905</v>
      </c>
      <c r="H67" s="7">
        <f t="shared" si="33"/>
        <v>10694.122127876961</v>
      </c>
      <c r="I67" s="7">
        <f t="shared" si="33"/>
        <v>13079.72938670312</v>
      </c>
      <c r="K67" s="48">
        <f>K66*25%</f>
        <v>2215.25</v>
      </c>
      <c r="L67" s="48">
        <f t="shared" ref="L67:Q67" si="34">L66*25%</f>
        <v>2367.7520038620696</v>
      </c>
      <c r="M67" s="48">
        <f t="shared" si="34"/>
        <v>3389.0459782559583</v>
      </c>
      <c r="N67" s="48">
        <f t="shared" si="34"/>
        <v>4646.4688911174544</v>
      </c>
      <c r="O67" s="48">
        <f t="shared" si="34"/>
        <v>6188.2129453629068</v>
      </c>
      <c r="P67" s="48">
        <f t="shared" si="34"/>
        <v>8071.9078458136519</v>
      </c>
      <c r="Q67" s="48">
        <f t="shared" si="34"/>
        <v>10366.435628201636</v>
      </c>
      <c r="S67" s="54">
        <f>S66*25%</f>
        <v>199</v>
      </c>
      <c r="T67" s="54">
        <f t="shared" ref="T67:Y67" si="35">T66*25%</f>
        <v>209</v>
      </c>
      <c r="U67" s="54">
        <f t="shared" si="35"/>
        <v>919.5487499999997</v>
      </c>
      <c r="V67" s="54">
        <f t="shared" si="35"/>
        <v>2102.1654374999998</v>
      </c>
      <c r="W67" s="54">
        <f t="shared" si="35"/>
        <v>3932.8852987499995</v>
      </c>
      <c r="X67" s="54">
        <f t="shared" si="35"/>
        <v>6975.1227790624989</v>
      </c>
      <c r="Y67" s="54">
        <f t="shared" si="35"/>
        <v>11451.086805155879</v>
      </c>
      <c r="AA67" s="54">
        <f>AA66*25%</f>
        <v>551.25</v>
      </c>
      <c r="AB67" s="54">
        <f t="shared" ref="AB67:AG67" si="36">AB66*25%</f>
        <v>387.32666666666682</v>
      </c>
      <c r="AC67" s="54">
        <f t="shared" si="36"/>
        <v>542.54090472222242</v>
      </c>
      <c r="AD67" s="54">
        <f t="shared" si="36"/>
        <v>721.57950458624998</v>
      </c>
      <c r="AE67" s="54">
        <f t="shared" si="36"/>
        <v>927.5722377671807</v>
      </c>
      <c r="AF67" s="54">
        <f t="shared" si="36"/>
        <v>1164.0409172647169</v>
      </c>
      <c r="AG67" s="54">
        <f t="shared" si="36"/>
        <v>1434.9476780724256</v>
      </c>
    </row>
    <row r="68" spans="1:33" ht="20" customHeight="1" x14ac:dyDescent="0.2">
      <c r="A68" s="132" t="s">
        <v>64</v>
      </c>
      <c r="B68" s="44" t="s">
        <v>10</v>
      </c>
      <c r="C68" s="62">
        <f t="shared" ref="C68:I68" si="37">C66-C67</f>
        <v>14058</v>
      </c>
      <c r="D68" s="62">
        <f t="shared" si="37"/>
        <v>14154.75</v>
      </c>
      <c r="E68" s="48">
        <f t="shared" si="37"/>
        <v>17224.673442045536</v>
      </c>
      <c r="F68" s="48">
        <f t="shared" si="37"/>
        <v>21262.436715356678</v>
      </c>
      <c r="G68" s="48">
        <f t="shared" si="37"/>
        <v>26150.423515627172</v>
      </c>
      <c r="H68" s="48">
        <f t="shared" si="37"/>
        <v>32082.366383630884</v>
      </c>
      <c r="I68" s="54">
        <f t="shared" si="37"/>
        <v>39239.188160109363</v>
      </c>
      <c r="K68" s="48">
        <f t="shared" ref="K68:Q68" si="38">K66-K67</f>
        <v>6645.75</v>
      </c>
      <c r="L68" s="48">
        <f t="shared" si="38"/>
        <v>7103.2560115862088</v>
      </c>
      <c r="M68" s="48">
        <f t="shared" si="38"/>
        <v>10167.137934767874</v>
      </c>
      <c r="N68" s="48">
        <f t="shared" si="38"/>
        <v>13939.406673352363</v>
      </c>
      <c r="O68" s="48">
        <f t="shared" si="38"/>
        <v>18564.638836088721</v>
      </c>
      <c r="P68" s="48">
        <f t="shared" si="38"/>
        <v>24215.723537440957</v>
      </c>
      <c r="Q68" s="7">
        <f t="shared" si="38"/>
        <v>31099.306884604906</v>
      </c>
      <c r="S68" s="48">
        <f t="shared" ref="S68:Y68" si="39">S66-S67</f>
        <v>597</v>
      </c>
      <c r="T68" s="48">
        <f t="shared" si="39"/>
        <v>627</v>
      </c>
      <c r="U68" s="48">
        <f t="shared" si="39"/>
        <v>2758.6462499999989</v>
      </c>
      <c r="V68" s="48">
        <f t="shared" si="39"/>
        <v>6306.4963124999995</v>
      </c>
      <c r="W68" s="48">
        <f t="shared" si="39"/>
        <v>11798.655896249998</v>
      </c>
      <c r="X68" s="48">
        <f t="shared" si="39"/>
        <v>20925.368337187498</v>
      </c>
      <c r="Y68" s="54">
        <f t="shared" si="39"/>
        <v>34353.260415467637</v>
      </c>
      <c r="AA68" s="48">
        <f t="shared" ref="AA68:AG68" si="40">AA66-AA67</f>
        <v>1653.75</v>
      </c>
      <c r="AB68" s="48">
        <f t="shared" si="40"/>
        <v>1161.9800000000005</v>
      </c>
      <c r="AC68" s="48">
        <f t="shared" si="40"/>
        <v>1627.6227141666673</v>
      </c>
      <c r="AD68" s="48">
        <f t="shared" si="40"/>
        <v>2164.7385137587498</v>
      </c>
      <c r="AE68" s="48">
        <f t="shared" si="40"/>
        <v>2782.7167133015419</v>
      </c>
      <c r="AF68" s="48">
        <f t="shared" si="40"/>
        <v>3492.1227517941506</v>
      </c>
      <c r="AG68" s="54">
        <f t="shared" si="40"/>
        <v>4304.8430342172769</v>
      </c>
    </row>
    <row r="69" spans="1:33" ht="20" customHeight="1" x14ac:dyDescent="0.2">
      <c r="B69" s="46" t="s">
        <v>65</v>
      </c>
      <c r="C69" s="65">
        <v>1132</v>
      </c>
      <c r="D69" s="65">
        <v>1132</v>
      </c>
      <c r="E69" s="28">
        <f>D69*1.05</f>
        <v>1188.6000000000001</v>
      </c>
      <c r="F69" s="28">
        <f>E69*1.05</f>
        <v>1248.0300000000002</v>
      </c>
      <c r="G69" s="28">
        <f>F69*1.05</f>
        <v>1310.4315000000004</v>
      </c>
      <c r="H69" s="28">
        <f>G69*1.05</f>
        <v>1375.9530750000004</v>
      </c>
      <c r="I69" s="28">
        <f>H69*1.05</f>
        <v>1444.7507287500005</v>
      </c>
      <c r="K69" s="51">
        <v>2494</v>
      </c>
      <c r="L69" s="51">
        <v>2493.8487376919538</v>
      </c>
      <c r="M69" s="133">
        <v>1445</v>
      </c>
      <c r="N69" s="28">
        <v>2775.7159912695865</v>
      </c>
      <c r="O69" s="28">
        <v>2928.3803707894135</v>
      </c>
      <c r="P69" s="28">
        <v>3089.4412911828313</v>
      </c>
      <c r="Q69" s="28">
        <v>3259.3605621978868</v>
      </c>
      <c r="S69" s="51">
        <v>628</v>
      </c>
      <c r="T69" s="36">
        <v>628</v>
      </c>
      <c r="U69" s="28">
        <v>665.68000000000006</v>
      </c>
      <c r="V69" s="28">
        <v>705.62080000000014</v>
      </c>
      <c r="W69" s="28">
        <v>747.95804800000019</v>
      </c>
      <c r="X69" s="28">
        <v>792.83553088000019</v>
      </c>
      <c r="Y69" s="28">
        <v>840.40566273280024</v>
      </c>
      <c r="AA69" s="51">
        <v>142</v>
      </c>
      <c r="AB69" s="36">
        <v>141.62944444444443</v>
      </c>
      <c r="AC69" s="28">
        <v>147.29462222222222</v>
      </c>
      <c r="AD69" s="28">
        <v>153.18640711111112</v>
      </c>
      <c r="AE69" s="28">
        <v>159.31386339555559</v>
      </c>
      <c r="AF69" s="28">
        <v>165.6864179313778</v>
      </c>
      <c r="AG69" s="28">
        <v>172.31387464863292</v>
      </c>
    </row>
    <row r="70" spans="1:33" ht="20" customHeight="1" x14ac:dyDescent="0.2">
      <c r="B70" s="47" t="s">
        <v>66</v>
      </c>
      <c r="C70" s="64">
        <f t="shared" ref="C70:I70" si="41">C68+C67+C64-C61+C69</f>
        <v>19818</v>
      </c>
      <c r="D70" s="64">
        <f t="shared" si="41"/>
        <v>19947</v>
      </c>
      <c r="E70" s="64">
        <f t="shared" si="41"/>
        <v>24096.831256060712</v>
      </c>
      <c r="F70" s="64">
        <f t="shared" si="41"/>
        <v>29488.94562047557</v>
      </c>
      <c r="G70" s="64">
        <f t="shared" si="41"/>
        <v>36068.662854169561</v>
      </c>
      <c r="H70" s="64">
        <f t="shared" si="41"/>
        <v>44043.441586507841</v>
      </c>
      <c r="I70" s="64">
        <f t="shared" si="41"/>
        <v>53654.668275562479</v>
      </c>
      <c r="K70" s="52">
        <f t="shared" ref="K70:Q70" si="42">K68+K67+K64-K61+K69</f>
        <v>10886</v>
      </c>
      <c r="L70" s="52">
        <f t="shared" si="42"/>
        <v>11496.144477278162</v>
      </c>
      <c r="M70" s="52">
        <f t="shared" si="42"/>
        <v>14532.471637161763</v>
      </c>
      <c r="N70" s="52">
        <f t="shared" si="42"/>
        <v>20892.879279877336</v>
      </c>
      <c r="O70" s="52">
        <f t="shared" si="42"/>
        <v>27212.519876378974</v>
      </c>
      <c r="P70" s="52">
        <f t="shared" si="42"/>
        <v>34908.360398575373</v>
      </c>
      <c r="Q70" s="10">
        <f t="shared" si="42"/>
        <v>44256.390799142362</v>
      </c>
      <c r="S70" s="52">
        <f t="shared" ref="S70:Y70" si="43">S68+S67+S64-S61+S69</f>
        <v>629</v>
      </c>
      <c r="T70" s="52">
        <f t="shared" si="43"/>
        <v>669</v>
      </c>
      <c r="U70" s="52">
        <f t="shared" si="43"/>
        <v>3548.8749999999991</v>
      </c>
      <c r="V70" s="52">
        <f t="shared" si="43"/>
        <v>8319.2825499999999</v>
      </c>
      <c r="W70" s="52">
        <f t="shared" si="43"/>
        <v>15684.499242999998</v>
      </c>
      <c r="X70" s="52">
        <f t="shared" si="43"/>
        <v>27898.326647129998</v>
      </c>
      <c r="Y70" s="35">
        <f t="shared" si="43"/>
        <v>45849.752883356319</v>
      </c>
      <c r="AA70" s="52">
        <f t="shared" ref="AA70:AG70" si="44">AA68+AA67+AA64-AA61+AA69</f>
        <v>2347</v>
      </c>
      <c r="AB70" s="52">
        <f t="shared" si="44"/>
        <v>1690.9361111111118</v>
      </c>
      <c r="AC70" s="52">
        <f t="shared" si="44"/>
        <v>2317.4582411111119</v>
      </c>
      <c r="AD70" s="52">
        <f t="shared" si="44"/>
        <v>3039.5044254561112</v>
      </c>
      <c r="AE70" s="52">
        <f t="shared" si="44"/>
        <v>3869.6028144642783</v>
      </c>
      <c r="AF70" s="52">
        <f t="shared" si="44"/>
        <v>4821.8500869902455</v>
      </c>
      <c r="AG70" s="35">
        <f t="shared" si="44"/>
        <v>5912.1045869383352</v>
      </c>
    </row>
    <row r="72" spans="1:33" ht="20" customHeight="1" thickBot="1" x14ac:dyDescent="0.25">
      <c r="B72" s="34" t="s">
        <v>67</v>
      </c>
      <c r="M72" s="78"/>
    </row>
    <row r="73" spans="1:33" ht="20" customHeight="1" x14ac:dyDescent="0.2">
      <c r="B73" s="406"/>
      <c r="C73" s="409" t="s">
        <v>1</v>
      </c>
      <c r="D73" s="409"/>
      <c r="E73" s="409"/>
      <c r="F73" s="409"/>
      <c r="G73" s="409"/>
      <c r="H73" s="409"/>
      <c r="I73" s="409"/>
      <c r="K73" s="409" t="s">
        <v>2</v>
      </c>
      <c r="L73" s="409"/>
      <c r="M73" s="409"/>
      <c r="N73" s="409"/>
      <c r="O73" s="409"/>
      <c r="P73" s="409"/>
      <c r="Q73" s="409"/>
      <c r="S73" s="409" t="s">
        <v>3</v>
      </c>
      <c r="T73" s="409"/>
      <c r="U73" s="409"/>
      <c r="V73" s="409"/>
      <c r="W73" s="409"/>
      <c r="X73" s="409"/>
      <c r="Y73" s="409"/>
      <c r="AA73" s="409" t="s">
        <v>4</v>
      </c>
      <c r="AB73" s="409"/>
      <c r="AC73" s="409"/>
      <c r="AD73" s="409"/>
      <c r="AE73" s="409"/>
      <c r="AF73" s="409"/>
      <c r="AG73" s="409"/>
    </row>
    <row r="74" spans="1:33" ht="20" customHeight="1" x14ac:dyDescent="0.2">
      <c r="B74" s="41"/>
      <c r="C74" s="41" t="s">
        <v>26</v>
      </c>
      <c r="D74" s="41" t="s">
        <v>5</v>
      </c>
      <c r="E74" s="97">
        <v>2026</v>
      </c>
      <c r="F74" s="97">
        <v>2027</v>
      </c>
      <c r="G74" s="97">
        <v>2028</v>
      </c>
      <c r="H74" s="97">
        <v>2029</v>
      </c>
      <c r="I74" s="97">
        <v>2030</v>
      </c>
      <c r="K74" s="41" t="s">
        <v>26</v>
      </c>
      <c r="L74" s="41" t="s">
        <v>5</v>
      </c>
      <c r="M74" s="97">
        <v>2026</v>
      </c>
      <c r="N74" s="97">
        <v>2027</v>
      </c>
      <c r="O74" s="97">
        <v>2028</v>
      </c>
      <c r="P74" s="97">
        <v>2029</v>
      </c>
      <c r="Q74" s="97">
        <v>2030</v>
      </c>
      <c r="S74" s="41" t="s">
        <v>26</v>
      </c>
      <c r="T74" s="41" t="s">
        <v>5</v>
      </c>
      <c r="U74" s="97">
        <v>2026</v>
      </c>
      <c r="V74" s="97">
        <v>2027</v>
      </c>
      <c r="W74" s="97">
        <v>2028</v>
      </c>
      <c r="X74" s="97">
        <v>2029</v>
      </c>
      <c r="Y74" s="97">
        <v>2030</v>
      </c>
      <c r="AA74" s="41" t="s">
        <v>26</v>
      </c>
      <c r="AB74" s="41" t="s">
        <v>5</v>
      </c>
      <c r="AC74" s="97">
        <v>2026</v>
      </c>
      <c r="AD74" s="97">
        <v>2027</v>
      </c>
      <c r="AE74" s="97">
        <v>2028</v>
      </c>
      <c r="AF74" s="97">
        <v>2029</v>
      </c>
      <c r="AG74" s="97">
        <v>2030</v>
      </c>
    </row>
    <row r="75" spans="1:33" ht="20" customHeight="1" x14ac:dyDescent="0.2">
      <c r="B75" s="12" t="s">
        <v>68</v>
      </c>
      <c r="C75" s="48">
        <v>9</v>
      </c>
      <c r="D75" s="48">
        <v>662.6</v>
      </c>
      <c r="E75" s="62">
        <f>D107</f>
        <v>8742.3499970000084</v>
      </c>
      <c r="F75" s="62">
        <f>E107</f>
        <v>10673.443439045546</v>
      </c>
      <c r="G75" s="62">
        <f>F107</f>
        <v>13253.575554402214</v>
      </c>
      <c r="H75" s="62">
        <f>G107</f>
        <v>15782.006008029388</v>
      </c>
      <c r="I75" s="62">
        <f>H107</f>
        <v>17305.873641520269</v>
      </c>
      <c r="K75" s="48">
        <v>791.19999999999709</v>
      </c>
      <c r="L75" s="48">
        <v>419.68907408257002</v>
      </c>
      <c r="M75" s="62">
        <f>L107</f>
        <v>12536.75845914871</v>
      </c>
      <c r="N75" s="62">
        <f>M107</f>
        <v>20000.69990163625</v>
      </c>
      <c r="O75" s="62">
        <f>N107</f>
        <v>27453.84969699334</v>
      </c>
      <c r="P75" s="62">
        <f>O107</f>
        <v>33764.423599182555</v>
      </c>
      <c r="Q75" s="7">
        <f>P107</f>
        <v>39974.694431609125</v>
      </c>
      <c r="S75" s="48">
        <v>273.20000000000073</v>
      </c>
      <c r="T75" s="48">
        <v>40.200000000000728</v>
      </c>
      <c r="U75" s="62">
        <f>T107</f>
        <v>1240.2000000000007</v>
      </c>
      <c r="V75" s="62">
        <f>U107</f>
        <v>4664.0262499999972</v>
      </c>
      <c r="W75" s="62">
        <f>V107</f>
        <v>13507.343362000005</v>
      </c>
      <c r="X75" s="62">
        <f>W107</f>
        <v>24578.257310000001</v>
      </c>
      <c r="Y75" s="7">
        <f>X107</f>
        <v>34796.461178720005</v>
      </c>
      <c r="AA75" s="48">
        <v>144</v>
      </c>
      <c r="AB75" s="48">
        <v>444.03722222222245</v>
      </c>
      <c r="AC75" s="62">
        <f>AB107</f>
        <v>2946.3508855333284</v>
      </c>
      <c r="AD75" s="62">
        <f>AC107</f>
        <v>5721.2682266222173</v>
      </c>
      <c r="AE75" s="62">
        <f>AD107</f>
        <v>9039.1931520561066</v>
      </c>
      <c r="AF75" s="62">
        <f>AE107</f>
        <v>12981.223728780662</v>
      </c>
      <c r="AG75" s="7">
        <f>AF107</f>
        <v>17639.032895798544</v>
      </c>
    </row>
    <row r="76" spans="1:33" ht="20" customHeight="1" x14ac:dyDescent="0.2">
      <c r="B76" s="6"/>
      <c r="C76" s="6"/>
      <c r="D76" s="6"/>
      <c r="E76" s="6"/>
      <c r="F76" s="6"/>
      <c r="G76" s="6"/>
      <c r="H76" s="6"/>
      <c r="I76" s="6"/>
      <c r="K76" s="6"/>
      <c r="L76" s="6"/>
      <c r="M76" s="6"/>
      <c r="N76" s="6"/>
      <c r="O76" s="6"/>
      <c r="P76" s="6"/>
      <c r="Q76" s="6"/>
      <c r="S76" s="6"/>
      <c r="T76" s="6"/>
      <c r="U76" s="6"/>
      <c r="V76" s="6"/>
      <c r="W76" s="6"/>
      <c r="X76" s="6"/>
      <c r="Y76" s="6"/>
      <c r="AA76" s="6"/>
      <c r="AB76" s="6"/>
      <c r="AC76" s="6"/>
      <c r="AD76" s="6"/>
      <c r="AE76" s="6"/>
      <c r="AF76" s="6"/>
      <c r="AG76" s="6"/>
    </row>
    <row r="77" spans="1:33" ht="20" customHeight="1" x14ac:dyDescent="0.2">
      <c r="B77" s="6" t="s">
        <v>69</v>
      </c>
      <c r="C77" s="6"/>
      <c r="D77" s="6"/>
      <c r="E77" s="6"/>
      <c r="F77" s="6"/>
      <c r="G77" s="6"/>
      <c r="H77" s="6"/>
      <c r="I77" s="6"/>
      <c r="K77" s="6"/>
      <c r="L77" s="6"/>
      <c r="M77" s="6"/>
      <c r="N77" s="6"/>
      <c r="O77" s="6"/>
      <c r="P77" s="6"/>
      <c r="Q77" s="6"/>
      <c r="S77" s="6"/>
      <c r="T77" s="6"/>
      <c r="U77" s="6"/>
      <c r="V77" s="6"/>
      <c r="W77" s="6"/>
      <c r="X77" s="6"/>
      <c r="Y77" s="6"/>
      <c r="AA77" s="6"/>
      <c r="AB77" s="6"/>
      <c r="AC77" s="6"/>
      <c r="AD77" s="6"/>
      <c r="AE77" s="6"/>
      <c r="AF77" s="6"/>
      <c r="AG77" s="6"/>
    </row>
    <row r="78" spans="1:33" ht="20" customHeight="1" x14ac:dyDescent="0.2">
      <c r="B78" s="12" t="s">
        <v>70</v>
      </c>
      <c r="C78" s="48">
        <f t="shared" ref="C78:I78" si="45">SUM(C79:C84)</f>
        <v>55700</v>
      </c>
      <c r="D78" s="48">
        <f t="shared" si="45"/>
        <v>53772</v>
      </c>
      <c r="E78" s="48">
        <f t="shared" si="45"/>
        <v>59613.237066666661</v>
      </c>
      <c r="F78" s="48">
        <f t="shared" si="45"/>
        <v>68637.136733066654</v>
      </c>
      <c r="G78" s="48">
        <f t="shared" si="45"/>
        <v>79030.194594759058</v>
      </c>
      <c r="H78" s="48">
        <f t="shared" si="45"/>
        <v>91000.324845696232</v>
      </c>
      <c r="I78" s="48">
        <f t="shared" si="45"/>
        <v>104787.02626882352</v>
      </c>
      <c r="K78" s="48">
        <f t="shared" ref="K78:Q78" si="46">SUM(K79:K84)</f>
        <v>49950</v>
      </c>
      <c r="L78" s="48">
        <f t="shared" si="46"/>
        <v>50718.476137931037</v>
      </c>
      <c r="M78" s="48">
        <f t="shared" si="46"/>
        <v>52086.330302344824</v>
      </c>
      <c r="N78" s="48">
        <f t="shared" si="46"/>
        <v>61557.057761605502</v>
      </c>
      <c r="O78" s="48">
        <f t="shared" si="46"/>
        <v>72759.420992211075</v>
      </c>
      <c r="P78" s="48">
        <f t="shared" si="46"/>
        <v>86010.948033103268</v>
      </c>
      <c r="Q78" s="54">
        <f t="shared" si="46"/>
        <v>101687.49370997053</v>
      </c>
      <c r="S78" s="48">
        <f t="shared" ref="S78:Y78" si="47">SUM(S79:S84)</f>
        <v>24955</v>
      </c>
      <c r="T78" s="48">
        <f t="shared" si="47"/>
        <v>25118</v>
      </c>
      <c r="U78" s="48">
        <f t="shared" si="47"/>
        <v>30405.325000000001</v>
      </c>
      <c r="V78" s="48">
        <f t="shared" si="47"/>
        <v>39086.870050000005</v>
      </c>
      <c r="W78" s="48">
        <f t="shared" si="47"/>
        <v>50209.580128000001</v>
      </c>
      <c r="X78" s="48">
        <f t="shared" si="47"/>
        <v>65918.849975680001</v>
      </c>
      <c r="Y78" s="54">
        <f t="shared" si="47"/>
        <v>87612.518520620812</v>
      </c>
      <c r="AA78" s="48">
        <f t="shared" ref="AA78:AG78" si="48">SUM(AA79:AA84)</f>
        <v>10010</v>
      </c>
      <c r="AB78" s="48">
        <f t="shared" si="48"/>
        <v>9266.6575555555519</v>
      </c>
      <c r="AC78" s="48">
        <f t="shared" si="48"/>
        <v>9888.7310522222233</v>
      </c>
      <c r="AD78" s="48">
        <f t="shared" si="48"/>
        <v>10967.440475067222</v>
      </c>
      <c r="AE78" s="48">
        <f t="shared" si="48"/>
        <v>12177.162236787888</v>
      </c>
      <c r="AF78" s="48">
        <f t="shared" si="48"/>
        <v>13533.812302317616</v>
      </c>
      <c r="AG78" s="54">
        <f t="shared" si="48"/>
        <v>15055.240344959606</v>
      </c>
    </row>
    <row r="79" spans="1:33" ht="20" customHeight="1" x14ac:dyDescent="0.2">
      <c r="B79" s="16" t="s">
        <v>71</v>
      </c>
      <c r="C79" s="150">
        <v>51450</v>
      </c>
      <c r="D79" s="150">
        <v>51502</v>
      </c>
      <c r="E79" s="150">
        <f>E43</f>
        <v>59323.437066666658</v>
      </c>
      <c r="F79" s="150">
        <f>F43</f>
        <v>68332.846733066661</v>
      </c>
      <c r="G79" s="150">
        <f>G43</f>
        <v>78710.690094759062</v>
      </c>
      <c r="H79" s="150">
        <f>H43</f>
        <v>90664.845120696235</v>
      </c>
      <c r="I79" s="150">
        <f>I43</f>
        <v>104434.77255757352</v>
      </c>
      <c r="K79" s="150">
        <v>0</v>
      </c>
      <c r="L79" s="150">
        <v>0</v>
      </c>
      <c r="M79" s="150">
        <v>0</v>
      </c>
      <c r="N79" s="150">
        <v>0</v>
      </c>
      <c r="O79" s="150">
        <v>0</v>
      </c>
      <c r="P79" s="150">
        <v>0</v>
      </c>
      <c r="Q79" s="151">
        <v>0</v>
      </c>
      <c r="S79" s="150">
        <v>0</v>
      </c>
      <c r="T79" s="150">
        <v>0</v>
      </c>
      <c r="U79" s="150">
        <v>0</v>
      </c>
      <c r="V79" s="150">
        <v>0</v>
      </c>
      <c r="W79" s="150">
        <v>0</v>
      </c>
      <c r="X79" s="150">
        <v>0</v>
      </c>
      <c r="Y79" s="151">
        <v>0</v>
      </c>
      <c r="AA79" s="49">
        <v>0</v>
      </c>
      <c r="AB79" s="55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</row>
    <row r="80" spans="1:33" ht="20" customHeight="1" x14ac:dyDescent="0.2">
      <c r="B80" s="16" t="s">
        <v>72</v>
      </c>
      <c r="C80" s="49">
        <v>0</v>
      </c>
      <c r="D80" s="49">
        <v>0</v>
      </c>
      <c r="E80" s="49">
        <v>0</v>
      </c>
      <c r="F80" s="49">
        <v>0</v>
      </c>
      <c r="G80" s="49">
        <v>0</v>
      </c>
      <c r="H80" s="49">
        <v>0</v>
      </c>
      <c r="I80" s="49">
        <v>0</v>
      </c>
      <c r="K80" s="49">
        <v>27500</v>
      </c>
      <c r="L80" s="49">
        <v>28089.768110344827</v>
      </c>
      <c r="M80" s="49">
        <v>33145.926370206893</v>
      </c>
      <c r="N80" s="49">
        <v>39112.19311684413</v>
      </c>
      <c r="O80" s="49">
        <v>46152.38787787607</v>
      </c>
      <c r="P80" s="49">
        <v>54459.817695893762</v>
      </c>
      <c r="Q80" s="55">
        <v>64262.584881154638</v>
      </c>
      <c r="S80" s="49">
        <v>0</v>
      </c>
      <c r="T80" s="49">
        <v>0</v>
      </c>
      <c r="U80" s="49">
        <v>0</v>
      </c>
      <c r="V80" s="49">
        <v>0</v>
      </c>
      <c r="W80" s="49">
        <v>0</v>
      </c>
      <c r="X80" s="49">
        <v>0</v>
      </c>
      <c r="Y80" s="55">
        <v>0</v>
      </c>
      <c r="AA80" s="49">
        <v>0</v>
      </c>
      <c r="AB80" s="49">
        <v>0</v>
      </c>
      <c r="AC80" s="49">
        <v>0</v>
      </c>
      <c r="AD80" s="49">
        <v>0</v>
      </c>
      <c r="AE80" s="49">
        <v>0</v>
      </c>
      <c r="AF80" s="49">
        <v>0</v>
      </c>
      <c r="AG80" s="55">
        <v>0</v>
      </c>
    </row>
    <row r="81" spans="2:33" ht="20" customHeight="1" x14ac:dyDescent="0.2">
      <c r="B81" s="16" t="s">
        <v>73</v>
      </c>
      <c r="C81" s="49">
        <v>0</v>
      </c>
      <c r="D81" s="49">
        <v>0</v>
      </c>
      <c r="E81" s="49">
        <v>0</v>
      </c>
      <c r="F81" s="49">
        <v>0</v>
      </c>
      <c r="G81" s="49">
        <v>0</v>
      </c>
      <c r="H81" s="49">
        <v>0</v>
      </c>
      <c r="I81" s="49">
        <v>0</v>
      </c>
      <c r="K81" s="49">
        <v>15000</v>
      </c>
      <c r="L81" s="49">
        <v>15125.259751724137</v>
      </c>
      <c r="M81" s="49">
        <v>17999.059104551721</v>
      </c>
      <c r="N81" s="49">
        <v>21418.880334416546</v>
      </c>
      <c r="O81" s="49">
        <v>25488.467597955689</v>
      </c>
      <c r="P81" s="49">
        <v>30331.276441567268</v>
      </c>
      <c r="Q81" s="55">
        <v>36094.21896546505</v>
      </c>
      <c r="S81" s="49">
        <v>0</v>
      </c>
      <c r="T81" s="49">
        <v>0</v>
      </c>
      <c r="U81" s="49">
        <v>0</v>
      </c>
      <c r="V81" s="49">
        <v>0</v>
      </c>
      <c r="W81" s="49">
        <v>0</v>
      </c>
      <c r="X81" s="49">
        <v>0</v>
      </c>
      <c r="Y81" s="55">
        <v>0</v>
      </c>
      <c r="AA81" s="49">
        <v>0</v>
      </c>
      <c r="AB81" s="49">
        <v>0</v>
      </c>
      <c r="AC81" s="49">
        <v>0</v>
      </c>
      <c r="AD81" s="49">
        <v>0</v>
      </c>
      <c r="AE81" s="49">
        <v>0</v>
      </c>
      <c r="AF81" s="49">
        <v>0</v>
      </c>
      <c r="AG81" s="55">
        <v>0</v>
      </c>
    </row>
    <row r="82" spans="2:33" ht="20" customHeight="1" x14ac:dyDescent="0.2">
      <c r="B82" s="16" t="s">
        <v>74</v>
      </c>
      <c r="C82" s="49">
        <v>0</v>
      </c>
      <c r="D82" s="49">
        <v>0</v>
      </c>
      <c r="E82" s="49">
        <v>0</v>
      </c>
      <c r="F82" s="49">
        <v>0</v>
      </c>
      <c r="G82" s="49">
        <v>0</v>
      </c>
      <c r="H82" s="49">
        <v>0</v>
      </c>
      <c r="I82" s="49">
        <v>0</v>
      </c>
      <c r="K82" s="49">
        <v>0</v>
      </c>
      <c r="L82" s="49">
        <v>0</v>
      </c>
      <c r="M82" s="49">
        <v>0</v>
      </c>
      <c r="N82" s="49">
        <v>0</v>
      </c>
      <c r="O82" s="49">
        <v>0</v>
      </c>
      <c r="P82" s="49">
        <v>0</v>
      </c>
      <c r="Q82" s="55">
        <v>0</v>
      </c>
      <c r="S82" s="49">
        <v>23700</v>
      </c>
      <c r="T82" s="49">
        <v>24565</v>
      </c>
      <c r="U82" s="49">
        <v>29797.345000000001</v>
      </c>
      <c r="V82" s="49">
        <v>37246.681250000001</v>
      </c>
      <c r="W82" s="49">
        <v>47675.752</v>
      </c>
      <c r="X82" s="49">
        <v>63408.750160000003</v>
      </c>
      <c r="Y82" s="55">
        <v>85601.812716000015</v>
      </c>
      <c r="AA82" s="49">
        <v>0</v>
      </c>
      <c r="AB82" s="49">
        <v>0</v>
      </c>
      <c r="AC82" s="49">
        <v>0</v>
      </c>
      <c r="AD82" s="49">
        <v>0</v>
      </c>
      <c r="AE82" s="49">
        <v>0</v>
      </c>
      <c r="AF82" s="49">
        <v>0</v>
      </c>
      <c r="AG82" s="55">
        <v>0</v>
      </c>
    </row>
    <row r="83" spans="2:33" ht="20" customHeight="1" x14ac:dyDescent="0.2">
      <c r="B83" s="16" t="s">
        <v>75</v>
      </c>
      <c r="C83" s="49">
        <v>0</v>
      </c>
      <c r="D83" s="49">
        <v>0</v>
      </c>
      <c r="E83" s="49">
        <v>0</v>
      </c>
      <c r="F83" s="49">
        <v>0</v>
      </c>
      <c r="G83" s="49">
        <v>0</v>
      </c>
      <c r="H83" s="49">
        <v>0</v>
      </c>
      <c r="I83" s="49">
        <v>0</v>
      </c>
      <c r="K83" s="49">
        <v>0</v>
      </c>
      <c r="L83" s="49">
        <v>0</v>
      </c>
      <c r="M83" s="49">
        <v>0</v>
      </c>
      <c r="N83" s="49">
        <v>0</v>
      </c>
      <c r="O83" s="49">
        <v>0</v>
      </c>
      <c r="P83" s="49">
        <v>0</v>
      </c>
      <c r="Q83" s="55">
        <v>0</v>
      </c>
      <c r="S83" s="49">
        <v>0</v>
      </c>
      <c r="T83" s="49">
        <v>0</v>
      </c>
      <c r="U83" s="49">
        <v>0</v>
      </c>
      <c r="V83" s="49">
        <v>0</v>
      </c>
      <c r="W83" s="49">
        <v>0</v>
      </c>
      <c r="X83" s="49">
        <v>0</v>
      </c>
      <c r="Y83" s="55">
        <v>0</v>
      </c>
      <c r="AA83" s="49">
        <v>8500</v>
      </c>
      <c r="AB83" s="49">
        <v>7911.8422222222225</v>
      </c>
      <c r="AC83" s="49">
        <v>8873.1310522222229</v>
      </c>
      <c r="AD83" s="49">
        <v>9951.2164750672218</v>
      </c>
      <c r="AE83" s="49">
        <v>11160.289276787889</v>
      </c>
      <c r="AF83" s="49">
        <v>12516.264423917617</v>
      </c>
      <c r="AG83" s="55">
        <v>14036.990551423607</v>
      </c>
    </row>
    <row r="84" spans="2:33" ht="20" customHeight="1" x14ac:dyDescent="0.2">
      <c r="B84" s="16" t="s">
        <v>76</v>
      </c>
      <c r="C84" s="49">
        <v>4250</v>
      </c>
      <c r="D84" s="49">
        <v>2270</v>
      </c>
      <c r="E84" s="49">
        <f>E62+0</f>
        <v>289.8</v>
      </c>
      <c r="F84" s="49">
        <f>F62+0</f>
        <v>304.29000000000002</v>
      </c>
      <c r="G84" s="49">
        <f>G62+0</f>
        <v>319.50450000000001</v>
      </c>
      <c r="H84" s="49">
        <f>H62+0</f>
        <v>335.47972500000003</v>
      </c>
      <c r="I84" s="49">
        <f>I62+0</f>
        <v>352.25371125000004</v>
      </c>
      <c r="K84" s="49">
        <v>7450</v>
      </c>
      <c r="L84" s="49">
        <v>7503.4482758620697</v>
      </c>
      <c r="M84" s="49">
        <v>941.34482758620743</v>
      </c>
      <c r="N84" s="49">
        <v>1025.9843103448275</v>
      </c>
      <c r="O84" s="49">
        <v>1118.5655163793108</v>
      </c>
      <c r="P84" s="49">
        <v>1219.8538956422435</v>
      </c>
      <c r="Q84" s="55">
        <v>1330.6898633508408</v>
      </c>
      <c r="S84" s="49">
        <v>1255</v>
      </c>
      <c r="T84" s="49">
        <v>553</v>
      </c>
      <c r="U84" s="49">
        <v>607.98</v>
      </c>
      <c r="V84" s="49">
        <v>1840.1888000000004</v>
      </c>
      <c r="W84" s="49">
        <v>2533.8281279999997</v>
      </c>
      <c r="X84" s="49">
        <v>2510.0998156799997</v>
      </c>
      <c r="Y84" s="55">
        <v>2010.7058046208003</v>
      </c>
      <c r="AA84" s="49">
        <v>1510</v>
      </c>
      <c r="AB84" s="49">
        <v>1354.81533333333</v>
      </c>
      <c r="AC84" s="49">
        <v>1015.6000000000001</v>
      </c>
      <c r="AD84" s="49">
        <v>1016.2240000000002</v>
      </c>
      <c r="AE84" s="49">
        <v>1016.8729599999997</v>
      </c>
      <c r="AF84" s="49">
        <v>1017.5478783999997</v>
      </c>
      <c r="AG84" s="55">
        <v>1018.2497935359997</v>
      </c>
    </row>
    <row r="85" spans="2:33" ht="20" customHeight="1" x14ac:dyDescent="0.2">
      <c r="B85" s="17" t="s">
        <v>77</v>
      </c>
      <c r="C85" s="48">
        <f t="shared" ref="C85:I85" si="49">SUM(C86:C89)</f>
        <v>-34004</v>
      </c>
      <c r="D85" s="48">
        <f t="shared" si="49"/>
        <v>-34332.416669999991</v>
      </c>
      <c r="E85" s="48">
        <f t="shared" si="49"/>
        <v>-40279.118624621122</v>
      </c>
      <c r="F85" s="48">
        <f t="shared" si="49"/>
        <v>-45213.628367709985</v>
      </c>
      <c r="G85" s="48">
        <f t="shared" si="49"/>
        <v>-50610.769078631885</v>
      </c>
      <c r="H85" s="48">
        <f t="shared" si="49"/>
        <v>-56535.462396580348</v>
      </c>
      <c r="I85" s="48">
        <f t="shared" si="49"/>
        <v>-63046.0110939437</v>
      </c>
      <c r="K85" s="48">
        <f t="shared" ref="K85:Q85" si="50">SUM(K86:K89)</f>
        <v>-37981.25</v>
      </c>
      <c r="L85" s="48">
        <f t="shared" si="50"/>
        <v>-38292.248526726966</v>
      </c>
      <c r="M85" s="48">
        <f t="shared" si="50"/>
        <v>-38270.447756719353</v>
      </c>
      <c r="N85" s="48">
        <f t="shared" si="50"/>
        <v>-43706.830927110481</v>
      </c>
      <c r="O85" s="48">
        <f t="shared" si="50"/>
        <v>-50004.15163888393</v>
      </c>
      <c r="P85" s="48">
        <f t="shared" si="50"/>
        <v>-57305.744324538769</v>
      </c>
      <c r="Q85" s="54">
        <f t="shared" si="50"/>
        <v>-65779.408591974323</v>
      </c>
      <c r="S85" s="48">
        <f t="shared" ref="S85:Y85" si="51">SUM(S86:S89)</f>
        <v>-22726</v>
      </c>
      <c r="T85" s="48">
        <f t="shared" si="51"/>
        <v>-23564</v>
      </c>
      <c r="U85" s="48">
        <f t="shared" si="51"/>
        <v>-26594.558750000004</v>
      </c>
      <c r="V85" s="48">
        <f t="shared" si="51"/>
        <v>-30421.696537999997</v>
      </c>
      <c r="W85" s="48">
        <f t="shared" si="51"/>
        <v>-35279.798400000007</v>
      </c>
      <c r="X85" s="48">
        <f t="shared" si="51"/>
        <v>-41802.546256959999</v>
      </c>
      <c r="Y85" s="54">
        <f t="shared" si="51"/>
        <v>-50479.166600607598</v>
      </c>
      <c r="AA85" s="48">
        <f t="shared" ref="AA85:AG85" si="52">SUM(AA86:AA89)</f>
        <v>-6614.25</v>
      </c>
      <c r="AB85" s="48">
        <f t="shared" si="52"/>
        <v>-6564.3438922444457</v>
      </c>
      <c r="AC85" s="48">
        <f t="shared" si="52"/>
        <v>-6905.8137111333344</v>
      </c>
      <c r="AD85" s="48">
        <f t="shared" si="52"/>
        <v>-7433.195549633333</v>
      </c>
      <c r="AE85" s="48">
        <f t="shared" si="52"/>
        <v>-8010.1588600633331</v>
      </c>
      <c r="AF85" s="48">
        <f t="shared" si="52"/>
        <v>-8642.0314232997334</v>
      </c>
      <c r="AG85" s="54">
        <f t="shared" si="52"/>
        <v>-9334.7528575443903</v>
      </c>
    </row>
    <row r="86" spans="2:33" ht="20" customHeight="1" x14ac:dyDescent="0.2">
      <c r="B86" s="16" t="s">
        <v>78</v>
      </c>
      <c r="C86" s="150">
        <v>-21110</v>
      </c>
      <c r="D86" s="150">
        <v>-21096.079969999999</v>
      </c>
      <c r="E86" s="150">
        <f>-(E54+E49)</f>
        <v>-23921.844764666672</v>
      </c>
      <c r="F86" s="150">
        <f>-(F54+F49)</f>
        <v>-26917.15545054667</v>
      </c>
      <c r="G86" s="150">
        <f>-(G54+G49)</f>
        <v>-30092.184777579474</v>
      </c>
      <c r="H86" s="150">
        <f>-(H54+H49)</f>
        <v>-33457.715864234247</v>
      </c>
      <c r="I86" s="150">
        <f>-(I54+I49)</f>
        <v>-37025.178816088308</v>
      </c>
      <c r="K86" s="150">
        <v>-20600</v>
      </c>
      <c r="L86" s="150">
        <v>-20620.566768000001</v>
      </c>
      <c r="M86" s="150">
        <v>-23345.098311000002</v>
      </c>
      <c r="N86" s="150">
        <v>-26452.510842</v>
      </c>
      <c r="O86" s="150">
        <v>-29998.430597999999</v>
      </c>
      <c r="P86" s="150">
        <v>-34046.701335999998</v>
      </c>
      <c r="Q86" s="151">
        <v>-38670.608116000003</v>
      </c>
      <c r="S86" s="49">
        <v>-16050</v>
      </c>
      <c r="T86" s="49">
        <v>-16255</v>
      </c>
      <c r="U86" s="49">
        <v>-17257.45</v>
      </c>
      <c r="V86" s="49">
        <v>-18321.947499999998</v>
      </c>
      <c r="W86" s="49">
        <v>-19452.348385000001</v>
      </c>
      <c r="X86" s="49">
        <v>-20652.749206</v>
      </c>
      <c r="Y86" s="55">
        <v>-21927.502270000001</v>
      </c>
      <c r="AA86" s="150">
        <v>-4980</v>
      </c>
      <c r="AB86" s="150">
        <v>-5012.7577778000004</v>
      </c>
      <c r="AC86" s="150">
        <v>-5238.3318778000003</v>
      </c>
      <c r="AD86" s="150">
        <v>-5474.0568123000003</v>
      </c>
      <c r="AE86" s="150">
        <v>-5720.3893687999998</v>
      </c>
      <c r="AF86" s="150">
        <v>-5977.8068904000002</v>
      </c>
      <c r="AG86" s="151">
        <v>-6246.8082004999997</v>
      </c>
    </row>
    <row r="87" spans="2:33" ht="20" customHeight="1" x14ac:dyDescent="0.2">
      <c r="B87" s="16" t="s">
        <v>79</v>
      </c>
      <c r="C87" s="49">
        <v>-3800</v>
      </c>
      <c r="D87" s="49">
        <v>-3767</v>
      </c>
      <c r="E87" s="49">
        <f>-E56</f>
        <v>-4278.2450109392785</v>
      </c>
      <c r="F87" s="49">
        <f>-F56</f>
        <v>-4548.9038252944247</v>
      </c>
      <c r="G87" s="49">
        <f>-G56</f>
        <v>-4803.1085344225276</v>
      </c>
      <c r="H87" s="49">
        <f>-H56</f>
        <v>-5029.6170449372694</v>
      </c>
      <c r="I87" s="49">
        <f>-I56</f>
        <v>-5214.1513096550098</v>
      </c>
      <c r="K87" s="49">
        <v>-6800</v>
      </c>
      <c r="L87" s="49">
        <v>-6871.1894300689673</v>
      </c>
      <c r="M87" s="49">
        <v>-7249.1048487227599</v>
      </c>
      <c r="N87" s="49">
        <v>-7647.8056154025116</v>
      </c>
      <c r="O87" s="49">
        <v>-8068.4349242496492</v>
      </c>
      <c r="P87" s="49">
        <v>-8512.1988450833796</v>
      </c>
      <c r="Q87" s="55">
        <v>-8980.3697815629657</v>
      </c>
      <c r="S87" s="49">
        <v>-4400</v>
      </c>
      <c r="T87" s="49">
        <v>-4700</v>
      </c>
      <c r="U87" s="49">
        <v>-5546</v>
      </c>
      <c r="V87" s="49">
        <v>-6544.28</v>
      </c>
      <c r="W87" s="49">
        <v>-7722.250399999999</v>
      </c>
      <c r="X87" s="49">
        <v>-9112.2554719999989</v>
      </c>
      <c r="Y87" s="55">
        <v>-10934.706566399998</v>
      </c>
      <c r="AA87" s="49">
        <v>-360</v>
      </c>
      <c r="AB87" s="49">
        <v>-366.66666666666669</v>
      </c>
      <c r="AC87" s="49">
        <v>-399.66666666666674</v>
      </c>
      <c r="AD87" s="49">
        <v>-435.63666666666677</v>
      </c>
      <c r="AE87" s="49">
        <v>-474.8439666666668</v>
      </c>
      <c r="AF87" s="49">
        <v>-517.5799236666669</v>
      </c>
      <c r="AG87" s="55">
        <v>-564.16211679666696</v>
      </c>
    </row>
    <row r="88" spans="2:33" ht="20" customHeight="1" x14ac:dyDescent="0.2">
      <c r="B88" s="16" t="s">
        <v>80</v>
      </c>
      <c r="C88" s="150">
        <v>-686</v>
      </c>
      <c r="D88" s="150">
        <v>-971.25</v>
      </c>
      <c r="E88" s="150">
        <f>-E67</f>
        <v>-5741.5578140151783</v>
      </c>
      <c r="F88" s="150">
        <f>-F67</f>
        <v>-7087.4789051188927</v>
      </c>
      <c r="G88" s="150">
        <f>-G67</f>
        <v>-8716.8078385423905</v>
      </c>
      <c r="H88" s="150">
        <f>-H67</f>
        <v>-10694.122127876961</v>
      </c>
      <c r="I88" s="150">
        <f>-I67</f>
        <v>-13079.72938670312</v>
      </c>
      <c r="K88" s="150">
        <v>-1795.25</v>
      </c>
      <c r="L88" s="150">
        <v>-1945.450321</v>
      </c>
      <c r="M88" s="150">
        <v>-3389.0459780000001</v>
      </c>
      <c r="N88" s="150">
        <v>-4646.4688910000004</v>
      </c>
      <c r="O88" s="150">
        <v>-6188.2129450000002</v>
      </c>
      <c r="P88" s="150">
        <v>-8071.9078460000001</v>
      </c>
      <c r="Q88" s="151">
        <v>-10366.435627999999</v>
      </c>
      <c r="S88" s="49">
        <v>-199</v>
      </c>
      <c r="T88" s="49">
        <v>-209</v>
      </c>
      <c r="U88" s="49">
        <v>-919.54875000000004</v>
      </c>
      <c r="V88" s="49">
        <v>-2102.165438</v>
      </c>
      <c r="W88" s="49">
        <v>-3932.885299</v>
      </c>
      <c r="X88" s="49">
        <v>-6975.1227790000003</v>
      </c>
      <c r="Y88" s="55">
        <v>-11451.086805000001</v>
      </c>
      <c r="AA88" s="150">
        <v>-551.25</v>
      </c>
      <c r="AB88" s="150">
        <v>-387.32666999999998</v>
      </c>
      <c r="AC88" s="150">
        <v>-542.54089999999997</v>
      </c>
      <c r="AD88" s="150">
        <v>-721.57950000000005</v>
      </c>
      <c r="AE88" s="159">
        <v>-927.57223777000002</v>
      </c>
      <c r="AF88" s="150">
        <v>-1164.0409199999999</v>
      </c>
      <c r="AG88" s="151">
        <v>-1434.94768</v>
      </c>
    </row>
    <row r="89" spans="2:33" ht="20" customHeight="1" x14ac:dyDescent="0.2">
      <c r="B89" s="16" t="s">
        <v>76</v>
      </c>
      <c r="C89" s="49">
        <v>-8408</v>
      </c>
      <c r="D89" s="49">
        <v>-8498.0866999999962</v>
      </c>
      <c r="E89" s="49">
        <f>-((E50+E51+E57+E58+E65)-E69)-(E124-D124)</f>
        <v>-6337.471034999995</v>
      </c>
      <c r="F89" s="49">
        <f>-((F50+F51+F57+F58+F65)-F69)-(F124-E124)</f>
        <v>-6660.0901867499979</v>
      </c>
      <c r="G89" s="49">
        <f>-((G50+G51+G57+G58+G65)-G69)-(G124-F124)</f>
        <v>-6998.6679280874978</v>
      </c>
      <c r="H89" s="49">
        <f>-((H50+H51+H57+H58+H65)-H69)-(H124-G124)</f>
        <v>-7354.0073595318718</v>
      </c>
      <c r="I89" s="49">
        <f>-((I50+I51+I57+I58+I65)-I69)-(I124-H124)</f>
        <v>-7726.9515814972638</v>
      </c>
      <c r="K89" s="49">
        <v>-8786</v>
      </c>
      <c r="L89" s="49">
        <v>-8855.042007657994</v>
      </c>
      <c r="M89" s="49">
        <v>-4287.198618996591</v>
      </c>
      <c r="N89" s="49">
        <v>-4960.0455787079736</v>
      </c>
      <c r="O89" s="49">
        <v>-5749.0731716342843</v>
      </c>
      <c r="P89" s="49">
        <v>-6674.9362974553878</v>
      </c>
      <c r="Q89" s="55">
        <v>-7761.995066411353</v>
      </c>
      <c r="S89" s="49">
        <v>-2077</v>
      </c>
      <c r="T89" s="49">
        <v>-2400</v>
      </c>
      <c r="U89" s="49">
        <v>-2871.56</v>
      </c>
      <c r="V89" s="49">
        <v>-3453.3035999999997</v>
      </c>
      <c r="W89" s="49">
        <v>-4172.3143160000009</v>
      </c>
      <c r="X89" s="49">
        <v>-5062.4187999600008</v>
      </c>
      <c r="Y89" s="55">
        <v>-6165.8709592076002</v>
      </c>
      <c r="AA89" s="49">
        <v>-723</v>
      </c>
      <c r="AB89" s="49">
        <v>-797.59277777777777</v>
      </c>
      <c r="AC89" s="49">
        <v>-725.27426666666679</v>
      </c>
      <c r="AD89" s="49">
        <v>-801.92257066666673</v>
      </c>
      <c r="AE89" s="49">
        <v>-887.35328682666682</v>
      </c>
      <c r="AF89" s="49">
        <v>-982.60368923306692</v>
      </c>
      <c r="AG89" s="55">
        <v>-1088.8348602477233</v>
      </c>
    </row>
    <row r="90" spans="2:33" ht="20" customHeight="1" x14ac:dyDescent="0.2">
      <c r="B90" s="20" t="s">
        <v>81</v>
      </c>
      <c r="C90" s="50">
        <f t="shared" ref="C90:I90" si="53">C78+C85</f>
        <v>21696</v>
      </c>
      <c r="D90" s="50">
        <f t="shared" si="53"/>
        <v>19439.583330000009</v>
      </c>
      <c r="E90" s="50">
        <f t="shared" si="53"/>
        <v>19334.118442045539</v>
      </c>
      <c r="F90" s="50">
        <f t="shared" si="53"/>
        <v>23423.508365356669</v>
      </c>
      <c r="G90" s="50">
        <f t="shared" si="53"/>
        <v>28419.425516127172</v>
      </c>
      <c r="H90" s="50">
        <f t="shared" si="53"/>
        <v>34464.862449115884</v>
      </c>
      <c r="I90" s="50">
        <f t="shared" si="53"/>
        <v>41741.015174879823</v>
      </c>
      <c r="K90" s="50">
        <f t="shared" ref="K90:Q90" si="54">K78+K85</f>
        <v>11968.75</v>
      </c>
      <c r="L90" s="50">
        <f t="shared" si="54"/>
        <v>12426.227611204071</v>
      </c>
      <c r="M90" s="50">
        <f t="shared" si="54"/>
        <v>13815.882545625471</v>
      </c>
      <c r="N90" s="50">
        <f t="shared" si="54"/>
        <v>17850.226834495021</v>
      </c>
      <c r="O90" s="50">
        <f t="shared" si="54"/>
        <v>22755.269353327145</v>
      </c>
      <c r="P90" s="50">
        <f t="shared" si="54"/>
        <v>28705.203708564499</v>
      </c>
      <c r="Q90" s="56">
        <f t="shared" si="54"/>
        <v>35908.085117996205</v>
      </c>
      <c r="S90" s="50">
        <f t="shared" ref="S90:Y90" si="55">S78+S85</f>
        <v>2229</v>
      </c>
      <c r="T90" s="50">
        <f t="shared" si="55"/>
        <v>1554</v>
      </c>
      <c r="U90" s="50">
        <f t="shared" si="55"/>
        <v>3810.7662499999969</v>
      </c>
      <c r="V90" s="50">
        <f t="shared" si="55"/>
        <v>8665.1735120000085</v>
      </c>
      <c r="W90" s="50">
        <f t="shared" si="55"/>
        <v>14929.781727999994</v>
      </c>
      <c r="X90" s="50">
        <f t="shared" si="55"/>
        <v>24116.303718720003</v>
      </c>
      <c r="Y90" s="56">
        <f t="shared" si="55"/>
        <v>37133.351920013214</v>
      </c>
      <c r="AA90" s="50">
        <f t="shared" ref="AA90:AG90" si="56">AA78+AA85</f>
        <v>3395.75</v>
      </c>
      <c r="AB90" s="50">
        <f t="shared" si="56"/>
        <v>2702.3136633111062</v>
      </c>
      <c r="AC90" s="50">
        <f t="shared" si="56"/>
        <v>2982.9173410888889</v>
      </c>
      <c r="AD90" s="50">
        <f t="shared" si="56"/>
        <v>3534.244925433889</v>
      </c>
      <c r="AE90" s="50">
        <f t="shared" si="56"/>
        <v>4167.003376724555</v>
      </c>
      <c r="AF90" s="50">
        <f t="shared" si="56"/>
        <v>4891.7808790178824</v>
      </c>
      <c r="AG90" s="56">
        <f t="shared" si="56"/>
        <v>5720.4874874152156</v>
      </c>
    </row>
    <row r="91" spans="2:33" ht="20" customHeight="1" x14ac:dyDescent="0.2">
      <c r="B91" s="42"/>
      <c r="C91" s="6"/>
      <c r="D91" s="6"/>
      <c r="E91" s="60"/>
      <c r="F91" s="6"/>
      <c r="G91" s="6"/>
      <c r="H91" s="6"/>
      <c r="I91" s="6"/>
      <c r="K91" s="6"/>
      <c r="L91" s="6"/>
      <c r="M91" s="6"/>
      <c r="N91" s="6"/>
      <c r="O91" s="6"/>
      <c r="P91" s="6"/>
      <c r="Q91" s="6"/>
      <c r="S91" s="6"/>
      <c r="T91" s="6"/>
      <c r="U91" s="6"/>
      <c r="V91" s="6"/>
      <c r="W91" s="6"/>
      <c r="X91" s="6"/>
      <c r="Y91" s="6"/>
      <c r="AA91" s="6"/>
      <c r="AB91" s="6"/>
      <c r="AC91" s="6"/>
      <c r="AD91" s="6"/>
      <c r="AE91" s="6"/>
      <c r="AF91" s="6"/>
      <c r="AG91" s="6"/>
    </row>
    <row r="92" spans="2:33" ht="20" customHeight="1" x14ac:dyDescent="0.2">
      <c r="B92" s="6" t="s">
        <v>82</v>
      </c>
      <c r="C92" s="1"/>
      <c r="D92" s="1"/>
      <c r="E92" s="1"/>
      <c r="F92" s="1"/>
      <c r="G92" s="1"/>
      <c r="H92" s="1"/>
      <c r="I92" s="1"/>
      <c r="K92" s="1"/>
      <c r="L92" s="1"/>
      <c r="M92" s="1"/>
      <c r="N92" s="1"/>
      <c r="O92" s="1"/>
      <c r="P92" s="1"/>
      <c r="Q92" s="1"/>
      <c r="S92" s="1"/>
      <c r="T92" s="1"/>
      <c r="U92" s="1"/>
      <c r="V92" s="1"/>
      <c r="W92" s="1"/>
      <c r="X92" s="1"/>
      <c r="Y92" s="1"/>
      <c r="AA92" s="1"/>
      <c r="AB92" s="1"/>
      <c r="AC92" s="1"/>
      <c r="AD92" s="1"/>
      <c r="AE92" s="1"/>
      <c r="AF92" s="1"/>
      <c r="AG92" s="1"/>
    </row>
    <row r="93" spans="2:33" ht="20" customHeight="1" x14ac:dyDescent="0.2">
      <c r="B93" s="21" t="s">
        <v>83</v>
      </c>
      <c r="C93" s="49">
        <v>109</v>
      </c>
      <c r="D93" s="49">
        <v>109</v>
      </c>
      <c r="E93" s="49">
        <f>E61</f>
        <v>109</v>
      </c>
      <c r="F93" s="49">
        <f>F61</f>
        <v>109</v>
      </c>
      <c r="G93" s="49">
        <f>G61</f>
        <v>109</v>
      </c>
      <c r="H93" s="49">
        <f>H61</f>
        <v>109</v>
      </c>
      <c r="I93" s="49">
        <f>I61</f>
        <v>109</v>
      </c>
      <c r="K93" s="49">
        <v>469</v>
      </c>
      <c r="L93" s="49">
        <v>468.71227586206902</v>
      </c>
      <c r="M93" s="49">
        <v>468.71227586206902</v>
      </c>
      <c r="N93" s="49">
        <v>468.71227586206902</v>
      </c>
      <c r="O93" s="49">
        <v>468.71227586206902</v>
      </c>
      <c r="P93" s="49">
        <v>468.71227586206902</v>
      </c>
      <c r="Q93" s="55">
        <v>468.71227586206902</v>
      </c>
      <c r="S93" s="49">
        <v>795</v>
      </c>
      <c r="T93" s="49">
        <v>795</v>
      </c>
      <c r="U93" s="49">
        <v>795</v>
      </c>
      <c r="V93" s="49">
        <v>795</v>
      </c>
      <c r="W93" s="49">
        <v>795</v>
      </c>
      <c r="X93" s="49">
        <v>795</v>
      </c>
      <c r="Y93" s="55">
        <v>795</v>
      </c>
      <c r="AA93" s="49">
        <v>0</v>
      </c>
      <c r="AB93" s="49">
        <v>0</v>
      </c>
      <c r="AC93" s="49">
        <v>0</v>
      </c>
      <c r="AD93" s="49">
        <v>0</v>
      </c>
      <c r="AE93" s="49">
        <v>0</v>
      </c>
      <c r="AF93" s="49">
        <v>0</v>
      </c>
      <c r="AG93" s="55">
        <v>0</v>
      </c>
    </row>
    <row r="94" spans="2:33" ht="20" customHeight="1" x14ac:dyDescent="0.2">
      <c r="B94" s="16" t="s">
        <v>84</v>
      </c>
      <c r="C94" s="49">
        <v>0</v>
      </c>
      <c r="D94" s="49">
        <v>0</v>
      </c>
      <c r="E94" s="49">
        <f>D94</f>
        <v>0</v>
      </c>
      <c r="F94" s="49">
        <f>E94</f>
        <v>0</v>
      </c>
      <c r="G94" s="49">
        <f>F94</f>
        <v>0</v>
      </c>
      <c r="H94" s="49">
        <f>G94</f>
        <v>0</v>
      </c>
      <c r="I94" s="49">
        <f>H94</f>
        <v>0</v>
      </c>
      <c r="K94" s="49">
        <v>0</v>
      </c>
      <c r="L94" s="49">
        <v>0</v>
      </c>
      <c r="M94" s="49">
        <v>0</v>
      </c>
      <c r="N94" s="49">
        <v>0</v>
      </c>
      <c r="O94" s="49">
        <v>0</v>
      </c>
      <c r="P94" s="49">
        <v>0</v>
      </c>
      <c r="Q94" s="55">
        <v>0</v>
      </c>
      <c r="S94" s="49">
        <v>0</v>
      </c>
      <c r="T94" s="49">
        <v>0</v>
      </c>
      <c r="U94" s="49">
        <v>0</v>
      </c>
      <c r="V94" s="49">
        <v>0</v>
      </c>
      <c r="W94" s="49">
        <v>0</v>
      </c>
      <c r="X94" s="49">
        <v>0</v>
      </c>
      <c r="Y94" s="55">
        <v>0</v>
      </c>
      <c r="AA94" s="49">
        <v>0</v>
      </c>
      <c r="AB94" s="49">
        <v>0</v>
      </c>
      <c r="AC94" s="49">
        <v>0</v>
      </c>
      <c r="AD94" s="49">
        <v>0</v>
      </c>
      <c r="AE94" s="49">
        <v>0</v>
      </c>
      <c r="AF94" s="49">
        <v>0</v>
      </c>
      <c r="AG94" s="55">
        <v>0</v>
      </c>
    </row>
    <row r="95" spans="2:33" ht="20" customHeight="1" x14ac:dyDescent="0.2">
      <c r="B95" s="22" t="s">
        <v>85</v>
      </c>
      <c r="C95" s="49">
        <f>-C64</f>
        <v>-51</v>
      </c>
      <c r="D95" s="49">
        <f>-D64</f>
        <v>-51</v>
      </c>
      <c r="E95" s="49">
        <f>-E64</f>
        <v>-51</v>
      </c>
      <c r="F95" s="49">
        <v>0</v>
      </c>
      <c r="G95" s="49">
        <f>F95</f>
        <v>0</v>
      </c>
      <c r="H95" s="49">
        <f>G95</f>
        <v>0</v>
      </c>
      <c r="I95" s="49">
        <f>H95</f>
        <v>0</v>
      </c>
      <c r="K95" s="49">
        <v>0</v>
      </c>
      <c r="L95" s="49">
        <v>0</v>
      </c>
      <c r="M95" s="49">
        <v>0</v>
      </c>
      <c r="N95" s="49">
        <v>0</v>
      </c>
      <c r="O95" s="49">
        <v>0</v>
      </c>
      <c r="P95" s="49">
        <v>0</v>
      </c>
      <c r="Q95" s="55">
        <v>0</v>
      </c>
      <c r="S95" s="49">
        <v>0</v>
      </c>
      <c r="T95" s="49">
        <v>0</v>
      </c>
      <c r="U95" s="49">
        <v>0</v>
      </c>
      <c r="V95" s="49">
        <v>0</v>
      </c>
      <c r="W95" s="49">
        <v>0</v>
      </c>
      <c r="X95" s="49">
        <v>0</v>
      </c>
      <c r="Y95" s="55">
        <v>0</v>
      </c>
      <c r="AA95" s="49">
        <v>0</v>
      </c>
      <c r="AB95" s="49">
        <v>0</v>
      </c>
      <c r="AC95" s="49">
        <v>0</v>
      </c>
      <c r="AD95" s="49">
        <v>0</v>
      </c>
      <c r="AE95" s="49">
        <v>0</v>
      </c>
      <c r="AF95" s="49">
        <v>0</v>
      </c>
      <c r="AG95" s="55">
        <v>0</v>
      </c>
    </row>
    <row r="96" spans="2:33" ht="20" customHeight="1" x14ac:dyDescent="0.2">
      <c r="B96" s="20" t="s">
        <v>86</v>
      </c>
      <c r="C96" s="50">
        <f t="shared" ref="C96:I96" si="57">SUM(C93:C95)</f>
        <v>58</v>
      </c>
      <c r="D96" s="50">
        <f t="shared" si="57"/>
        <v>58</v>
      </c>
      <c r="E96" s="50">
        <f t="shared" si="57"/>
        <v>58</v>
      </c>
      <c r="F96" s="50">
        <f t="shared" si="57"/>
        <v>109</v>
      </c>
      <c r="G96" s="50">
        <f t="shared" si="57"/>
        <v>109</v>
      </c>
      <c r="H96" s="50">
        <f t="shared" si="57"/>
        <v>109</v>
      </c>
      <c r="I96" s="50">
        <f t="shared" si="57"/>
        <v>109</v>
      </c>
      <c r="K96" s="50">
        <f t="shared" ref="K96:Q96" si="58">SUM(K93:K95)</f>
        <v>469</v>
      </c>
      <c r="L96" s="50">
        <f t="shared" si="58"/>
        <v>468.71227586206902</v>
      </c>
      <c r="M96" s="50">
        <f t="shared" si="58"/>
        <v>468.71227586206902</v>
      </c>
      <c r="N96" s="50">
        <f t="shared" si="58"/>
        <v>468.71227586206902</v>
      </c>
      <c r="O96" s="50">
        <f t="shared" si="58"/>
        <v>468.71227586206902</v>
      </c>
      <c r="P96" s="50">
        <f t="shared" si="58"/>
        <v>468.71227586206902</v>
      </c>
      <c r="Q96" s="56">
        <f t="shared" si="58"/>
        <v>468.71227586206902</v>
      </c>
      <c r="S96" s="50">
        <f t="shared" ref="S96:Y96" si="59">SUM(S93:S95)</f>
        <v>795</v>
      </c>
      <c r="T96" s="50">
        <f t="shared" si="59"/>
        <v>795</v>
      </c>
      <c r="U96" s="50">
        <f t="shared" si="59"/>
        <v>795</v>
      </c>
      <c r="V96" s="50">
        <f t="shared" si="59"/>
        <v>795</v>
      </c>
      <c r="W96" s="50">
        <f t="shared" si="59"/>
        <v>795</v>
      </c>
      <c r="X96" s="50">
        <f t="shared" si="59"/>
        <v>795</v>
      </c>
      <c r="Y96" s="56">
        <f t="shared" si="59"/>
        <v>795</v>
      </c>
      <c r="AA96" s="50">
        <f t="shared" ref="AA96:AG96" si="60">SUM(AA93:AA95)</f>
        <v>0</v>
      </c>
      <c r="AB96" s="50">
        <f t="shared" si="60"/>
        <v>0</v>
      </c>
      <c r="AC96" s="50">
        <f t="shared" si="60"/>
        <v>0</v>
      </c>
      <c r="AD96" s="50">
        <f t="shared" si="60"/>
        <v>0</v>
      </c>
      <c r="AE96" s="50">
        <f t="shared" si="60"/>
        <v>0</v>
      </c>
      <c r="AF96" s="50">
        <f t="shared" si="60"/>
        <v>0</v>
      </c>
      <c r="AG96" s="56">
        <f t="shared" si="60"/>
        <v>0</v>
      </c>
    </row>
    <row r="97" spans="1:33" ht="20" customHeight="1" x14ac:dyDescent="0.2">
      <c r="B97" s="6"/>
      <c r="C97" s="6"/>
      <c r="D97" s="6"/>
      <c r="E97" s="60"/>
      <c r="F97" s="6"/>
      <c r="G97" s="6"/>
      <c r="H97" s="6"/>
      <c r="I97" s="6"/>
      <c r="K97" s="6"/>
      <c r="L97" s="6"/>
      <c r="M97" s="6"/>
      <c r="N97" s="6"/>
      <c r="O97" s="6"/>
      <c r="P97" s="6"/>
      <c r="Q97" s="6"/>
      <c r="S97" s="6"/>
      <c r="T97" s="6"/>
      <c r="U97" s="6"/>
      <c r="V97" s="6"/>
      <c r="W97" s="6"/>
      <c r="X97" s="6"/>
      <c r="Y97" s="6"/>
      <c r="AA97" s="6"/>
      <c r="AB97" s="6"/>
      <c r="AC97" s="6"/>
      <c r="AD97" s="6"/>
      <c r="AE97" s="6"/>
      <c r="AF97" s="6"/>
      <c r="AG97" s="6"/>
    </row>
    <row r="98" spans="1:33" ht="20" customHeight="1" x14ac:dyDescent="0.2">
      <c r="B98" s="1"/>
      <c r="C98" s="9"/>
      <c r="D98" s="9"/>
      <c r="E98" s="9"/>
      <c r="F98" s="9"/>
      <c r="G98" s="9"/>
      <c r="H98" s="9"/>
      <c r="I98" s="9"/>
      <c r="K98" s="9"/>
      <c r="L98" s="9"/>
      <c r="M98" s="9"/>
      <c r="N98" s="9"/>
      <c r="O98" s="9"/>
      <c r="P98" s="9"/>
      <c r="Q98" s="9"/>
      <c r="S98" s="9"/>
      <c r="T98" s="9"/>
      <c r="U98" s="9"/>
      <c r="V98" s="9"/>
      <c r="W98" s="9"/>
      <c r="X98" s="9"/>
      <c r="Y98" s="9"/>
      <c r="AA98" s="9"/>
      <c r="AB98" s="9"/>
      <c r="AC98" s="9"/>
      <c r="AD98" s="9"/>
      <c r="AE98" s="9"/>
      <c r="AF98" s="9"/>
      <c r="AG98" s="9"/>
    </row>
    <row r="99" spans="1:33" ht="20" customHeight="1" x14ac:dyDescent="0.2">
      <c r="B99" s="6" t="s">
        <v>87</v>
      </c>
      <c r="C99" s="6"/>
      <c r="D99" s="6"/>
      <c r="E99" s="6"/>
      <c r="F99" s="6"/>
      <c r="G99" s="6"/>
      <c r="H99" s="6"/>
      <c r="I99" s="6"/>
      <c r="K99" s="6"/>
      <c r="L99" s="6"/>
      <c r="M99" s="6"/>
      <c r="N99" s="6"/>
      <c r="O99" s="6"/>
      <c r="P99" s="6"/>
      <c r="Q99" s="6"/>
      <c r="S99" s="6"/>
      <c r="T99" s="6"/>
      <c r="U99" s="6"/>
      <c r="V99" s="6"/>
      <c r="W99" s="6"/>
      <c r="X99" s="6"/>
      <c r="Y99" s="6"/>
      <c r="AA99" s="6"/>
      <c r="AB99" s="6"/>
      <c r="AC99" s="6"/>
      <c r="AD99" s="6"/>
      <c r="AE99" s="6"/>
      <c r="AF99" s="6"/>
      <c r="AG99" s="6"/>
    </row>
    <row r="100" spans="1:33" ht="20" customHeight="1" x14ac:dyDescent="0.2">
      <c r="B100" s="21" t="s">
        <v>88</v>
      </c>
      <c r="C100" s="150">
        <v>600</v>
      </c>
      <c r="D100" s="150">
        <v>600</v>
      </c>
      <c r="E100" s="150">
        <f>E32</f>
        <v>600</v>
      </c>
      <c r="F100" s="155">
        <v>0</v>
      </c>
      <c r="G100" s="155">
        <v>0</v>
      </c>
      <c r="H100" s="155">
        <v>0</v>
      </c>
      <c r="I100" s="155">
        <v>0</v>
      </c>
      <c r="K100" s="155">
        <v>0</v>
      </c>
      <c r="L100" s="155">
        <v>0</v>
      </c>
      <c r="M100" s="155">
        <v>0</v>
      </c>
      <c r="N100" s="155">
        <v>0</v>
      </c>
      <c r="O100" s="155">
        <v>0</v>
      </c>
      <c r="P100" s="155">
        <v>0</v>
      </c>
      <c r="Q100" s="156">
        <v>0</v>
      </c>
      <c r="S100" s="49">
        <v>0</v>
      </c>
      <c r="T100" s="49">
        <v>0</v>
      </c>
      <c r="U100" s="49">
        <v>0</v>
      </c>
      <c r="V100" s="49">
        <v>0</v>
      </c>
      <c r="W100" s="49">
        <v>0</v>
      </c>
      <c r="X100" s="49">
        <v>0</v>
      </c>
      <c r="Y100" s="55">
        <v>0</v>
      </c>
      <c r="AA100" s="49">
        <v>0</v>
      </c>
      <c r="AB100" s="49">
        <v>0</v>
      </c>
      <c r="AC100" s="49">
        <v>0</v>
      </c>
      <c r="AD100" s="49">
        <v>0</v>
      </c>
      <c r="AE100" s="49">
        <v>0</v>
      </c>
      <c r="AF100" s="49">
        <v>0</v>
      </c>
      <c r="AG100" s="55">
        <v>0</v>
      </c>
    </row>
    <row r="101" spans="1:33" ht="20" customHeight="1" x14ac:dyDescent="0.2">
      <c r="B101" s="21" t="s">
        <v>89</v>
      </c>
      <c r="C101" s="150">
        <v>-864</v>
      </c>
      <c r="D101" s="150">
        <v>-863.83333300000004</v>
      </c>
      <c r="E101" s="150">
        <f>-E55</f>
        <v>-907.02499999999986</v>
      </c>
      <c r="F101" s="150">
        <f>-F55</f>
        <v>-952.37624999999991</v>
      </c>
      <c r="G101" s="150">
        <f>-G55</f>
        <v>-999.9950624999999</v>
      </c>
      <c r="H101" s="150">
        <f>-H55</f>
        <v>-1049.994815625</v>
      </c>
      <c r="I101" s="150">
        <f>-I55</f>
        <v>-1102.49455640625</v>
      </c>
      <c r="K101" s="150">
        <v>-778</v>
      </c>
      <c r="L101" s="150">
        <v>-777.87050199999999</v>
      </c>
      <c r="M101" s="150">
        <v>-820.65337899999997</v>
      </c>
      <c r="N101" s="150">
        <v>-865.78931499999999</v>
      </c>
      <c r="O101" s="150">
        <v>-913.40772700000002</v>
      </c>
      <c r="P101" s="150">
        <v>-963.64515200000005</v>
      </c>
      <c r="Q101" s="150">
        <v>-1016.645636</v>
      </c>
      <c r="S101" s="150">
        <v>-549</v>
      </c>
      <c r="T101" s="150">
        <v>-549</v>
      </c>
      <c r="U101" s="150">
        <v>-581.94000000000005</v>
      </c>
      <c r="V101" s="150">
        <v>-616.85640000000001</v>
      </c>
      <c r="W101" s="150">
        <v>-653.86778000000004</v>
      </c>
      <c r="X101" s="150">
        <v>-693.09984999999995</v>
      </c>
      <c r="Y101" s="151">
        <v>-734.68583999999998</v>
      </c>
      <c r="AA101" s="150">
        <v>-200</v>
      </c>
      <c r="AB101" s="150">
        <v>-200</v>
      </c>
      <c r="AC101" s="150">
        <v>-208</v>
      </c>
      <c r="AD101" s="150">
        <v>-216.32</v>
      </c>
      <c r="AE101" s="150">
        <v>-224.97280000000001</v>
      </c>
      <c r="AF101" s="150">
        <v>-233.971712</v>
      </c>
      <c r="AG101" s="150">
        <v>-243.33058</v>
      </c>
    </row>
    <row r="102" spans="1:33" ht="20" customHeight="1" x14ac:dyDescent="0.2">
      <c r="B102" s="21" t="s">
        <v>90</v>
      </c>
      <c r="C102" s="150">
        <v>-1154</v>
      </c>
      <c r="D102" s="150">
        <v>-1154</v>
      </c>
      <c r="E102" s="150">
        <f>D102</f>
        <v>-1154</v>
      </c>
      <c r="F102" s="150">
        <v>0</v>
      </c>
      <c r="G102" s="150">
        <v>0</v>
      </c>
      <c r="H102" s="150">
        <v>0</v>
      </c>
      <c r="I102" s="150">
        <v>0</v>
      </c>
      <c r="K102" s="150">
        <v>0</v>
      </c>
      <c r="L102" s="150">
        <v>0</v>
      </c>
      <c r="M102" s="150">
        <v>0</v>
      </c>
      <c r="N102" s="150">
        <v>0</v>
      </c>
      <c r="O102" s="150">
        <v>0</v>
      </c>
      <c r="P102" s="150">
        <v>0</v>
      </c>
      <c r="Q102" s="150">
        <v>0</v>
      </c>
      <c r="S102" s="150">
        <v>-600</v>
      </c>
      <c r="T102" s="150">
        <v>-600</v>
      </c>
      <c r="U102" s="150">
        <v>-600</v>
      </c>
      <c r="V102" s="150">
        <v>0</v>
      </c>
      <c r="W102" s="150">
        <v>0</v>
      </c>
      <c r="X102" s="150">
        <v>0</v>
      </c>
      <c r="Y102" s="151">
        <v>0</v>
      </c>
      <c r="AA102" s="150">
        <v>0</v>
      </c>
      <c r="AB102" s="150">
        <v>0</v>
      </c>
      <c r="AC102" s="150">
        <v>0</v>
      </c>
      <c r="AD102" s="150">
        <v>0</v>
      </c>
      <c r="AE102" s="150">
        <v>0</v>
      </c>
      <c r="AF102" s="150">
        <v>0</v>
      </c>
      <c r="AG102" s="150">
        <v>0</v>
      </c>
    </row>
    <row r="103" spans="1:33" ht="20" customHeight="1" x14ac:dyDescent="0.2">
      <c r="B103" s="21" t="s">
        <v>91</v>
      </c>
      <c r="C103" s="150">
        <v>-7000</v>
      </c>
      <c r="D103" s="150">
        <v>-10000</v>
      </c>
      <c r="E103" s="150">
        <f>-E144</f>
        <v>-16000</v>
      </c>
      <c r="F103" s="150">
        <f>-F144</f>
        <v>-20000</v>
      </c>
      <c r="G103" s="150">
        <f>-G144</f>
        <v>-25000</v>
      </c>
      <c r="H103" s="150">
        <f>-H144</f>
        <v>-32000</v>
      </c>
      <c r="I103" s="150">
        <f>-I144</f>
        <v>-39000</v>
      </c>
      <c r="K103" s="150">
        <v>0</v>
      </c>
      <c r="L103" s="150">
        <v>0</v>
      </c>
      <c r="M103" s="150">
        <v>-6000</v>
      </c>
      <c r="N103" s="150">
        <v>-10000</v>
      </c>
      <c r="O103" s="150">
        <v>-16000</v>
      </c>
      <c r="P103" s="150">
        <v>-22000</v>
      </c>
      <c r="Q103" s="150">
        <v>-29000</v>
      </c>
      <c r="S103" s="150">
        <v>0</v>
      </c>
      <c r="T103" s="150">
        <v>0</v>
      </c>
      <c r="U103" s="150">
        <v>0</v>
      </c>
      <c r="V103" s="150">
        <v>0</v>
      </c>
      <c r="W103" s="150">
        <v>-4000</v>
      </c>
      <c r="X103" s="150">
        <v>-14000</v>
      </c>
      <c r="Y103" s="151">
        <v>-29000</v>
      </c>
      <c r="AA103" s="150">
        <v>0</v>
      </c>
      <c r="AB103" s="150">
        <v>0</v>
      </c>
      <c r="AC103" s="150">
        <v>0</v>
      </c>
      <c r="AD103" s="150">
        <v>0</v>
      </c>
      <c r="AE103" s="150">
        <v>0</v>
      </c>
      <c r="AF103" s="150">
        <v>0</v>
      </c>
      <c r="AG103" s="150">
        <v>-1000</v>
      </c>
    </row>
    <row r="104" spans="1:33" ht="20" customHeight="1" x14ac:dyDescent="0.2">
      <c r="B104" s="17" t="s">
        <v>92</v>
      </c>
      <c r="C104" s="72">
        <f t="shared" ref="C104:I104" si="61">SUM(C100:C103)</f>
        <v>-8418</v>
      </c>
      <c r="D104" s="72">
        <f t="shared" si="61"/>
        <v>-11417.833333</v>
      </c>
      <c r="E104" s="7">
        <f t="shared" si="61"/>
        <v>-17461.025000000001</v>
      </c>
      <c r="F104" s="7">
        <f t="shared" si="61"/>
        <v>-20952.376250000001</v>
      </c>
      <c r="G104" s="7">
        <f t="shared" si="61"/>
        <v>-25999.995062499998</v>
      </c>
      <c r="H104" s="7">
        <f t="shared" si="61"/>
        <v>-33049.994815625003</v>
      </c>
      <c r="I104" s="7">
        <f t="shared" si="61"/>
        <v>-40102.494556406251</v>
      </c>
      <c r="K104" s="48">
        <f t="shared" ref="K104:Q104" si="62">SUM(K100:K103)</f>
        <v>-778</v>
      </c>
      <c r="L104" s="48">
        <f t="shared" si="62"/>
        <v>-777.87050199999999</v>
      </c>
      <c r="M104" s="7">
        <f t="shared" si="62"/>
        <v>-6820.6533790000003</v>
      </c>
      <c r="N104" s="7">
        <f t="shared" si="62"/>
        <v>-10865.789315</v>
      </c>
      <c r="O104" s="7">
        <f t="shared" si="62"/>
        <v>-16913.407727000002</v>
      </c>
      <c r="P104" s="7">
        <f t="shared" si="62"/>
        <v>-22963.645152000001</v>
      </c>
      <c r="Q104" s="7">
        <f t="shared" si="62"/>
        <v>-30016.645636000001</v>
      </c>
      <c r="S104" s="72">
        <f t="shared" ref="S104:Y104" si="63">SUM(S100:S103)</f>
        <v>-1149</v>
      </c>
      <c r="T104" s="72">
        <f t="shared" si="63"/>
        <v>-1149</v>
      </c>
      <c r="U104" s="7">
        <f t="shared" si="63"/>
        <v>-1181.94</v>
      </c>
      <c r="V104" s="7">
        <f t="shared" si="63"/>
        <v>-616.85640000000001</v>
      </c>
      <c r="W104" s="7">
        <f t="shared" si="63"/>
        <v>-4653.8677800000005</v>
      </c>
      <c r="X104" s="7">
        <f t="shared" si="63"/>
        <v>-14693.099850000001</v>
      </c>
      <c r="Y104" s="7">
        <f t="shared" si="63"/>
        <v>-29734.685839999998</v>
      </c>
      <c r="AA104" s="72">
        <f t="shared" ref="AA104:AG104" si="64">SUM(AA100:AA103)</f>
        <v>-200</v>
      </c>
      <c r="AB104" s="72">
        <f t="shared" si="64"/>
        <v>-200</v>
      </c>
      <c r="AC104" s="7">
        <f t="shared" si="64"/>
        <v>-208</v>
      </c>
      <c r="AD104" s="7">
        <f t="shared" si="64"/>
        <v>-216.32</v>
      </c>
      <c r="AE104" s="7">
        <f t="shared" si="64"/>
        <v>-224.97280000000001</v>
      </c>
      <c r="AF104" s="7">
        <f t="shared" si="64"/>
        <v>-233.971712</v>
      </c>
      <c r="AG104" s="7">
        <f t="shared" si="64"/>
        <v>-1243.3305800000001</v>
      </c>
    </row>
    <row r="105" spans="1:33" ht="20" customHeight="1" x14ac:dyDescent="0.2">
      <c r="B105" s="17" t="s">
        <v>93</v>
      </c>
      <c r="C105" s="48">
        <f t="shared" ref="C105:I105" si="65">C90+C96+C104</f>
        <v>13336</v>
      </c>
      <c r="D105" s="48">
        <f t="shared" si="65"/>
        <v>8079.7499970000081</v>
      </c>
      <c r="E105" s="48">
        <f t="shared" si="65"/>
        <v>1931.0934420455378</v>
      </c>
      <c r="F105" s="48">
        <f t="shared" si="65"/>
        <v>2580.1321153566678</v>
      </c>
      <c r="G105" s="48">
        <f t="shared" si="65"/>
        <v>2528.4304536271738</v>
      </c>
      <c r="H105" s="48">
        <f t="shared" si="65"/>
        <v>1523.8676334908814</v>
      </c>
      <c r="I105" s="48">
        <f t="shared" si="65"/>
        <v>1747.5206184735725</v>
      </c>
      <c r="K105" s="48">
        <f t="shared" ref="K105:Q105" si="66">K90+K96+K104</f>
        <v>11659.75</v>
      </c>
      <c r="L105" s="48">
        <f t="shared" si="66"/>
        <v>12117.069385066141</v>
      </c>
      <c r="M105" s="48">
        <f t="shared" si="66"/>
        <v>7463.9414424875404</v>
      </c>
      <c r="N105" s="48">
        <f t="shared" si="66"/>
        <v>7453.1497953570888</v>
      </c>
      <c r="O105" s="48">
        <f t="shared" si="66"/>
        <v>6310.5739021892114</v>
      </c>
      <c r="P105" s="48">
        <f t="shared" si="66"/>
        <v>6210.2708324265659</v>
      </c>
      <c r="Q105" s="54">
        <f t="shared" si="66"/>
        <v>6360.1517578582716</v>
      </c>
      <c r="S105" s="48">
        <f t="shared" ref="S105:Y105" si="67">S90+S96+S104</f>
        <v>1875</v>
      </c>
      <c r="T105" s="48">
        <f t="shared" si="67"/>
        <v>1200</v>
      </c>
      <c r="U105" s="48">
        <f t="shared" si="67"/>
        <v>3423.8262499999969</v>
      </c>
      <c r="V105" s="48">
        <f t="shared" si="67"/>
        <v>8843.3171120000079</v>
      </c>
      <c r="W105" s="48">
        <f t="shared" si="67"/>
        <v>11070.913947999994</v>
      </c>
      <c r="X105" s="48">
        <f t="shared" si="67"/>
        <v>10218.203868720002</v>
      </c>
      <c r="Y105" s="54">
        <f t="shared" si="67"/>
        <v>8193.6660800132158</v>
      </c>
      <c r="AA105" s="48">
        <f t="shared" ref="AA105:AG105" si="68">AA90+AA96+AA104</f>
        <v>3195.75</v>
      </c>
      <c r="AB105" s="48">
        <f t="shared" si="68"/>
        <v>2502.3136633111062</v>
      </c>
      <c r="AC105" s="48">
        <f t="shared" si="68"/>
        <v>2774.9173410888889</v>
      </c>
      <c r="AD105" s="48">
        <f t="shared" si="68"/>
        <v>3317.9249254338888</v>
      </c>
      <c r="AE105" s="48">
        <f t="shared" si="68"/>
        <v>3942.030576724555</v>
      </c>
      <c r="AF105" s="48">
        <f t="shared" si="68"/>
        <v>4657.8091670178828</v>
      </c>
      <c r="AG105" s="54">
        <f t="shared" si="68"/>
        <v>4477.1569074152158</v>
      </c>
    </row>
    <row r="106" spans="1:33" ht="20" customHeight="1" x14ac:dyDescent="0.2">
      <c r="B106" s="2"/>
      <c r="C106" s="1"/>
      <c r="D106" s="1"/>
      <c r="E106" s="9"/>
      <c r="F106" s="1"/>
      <c r="G106" s="1"/>
      <c r="H106" s="1"/>
      <c r="I106" s="1"/>
      <c r="K106" s="1"/>
      <c r="L106" s="1"/>
      <c r="M106" s="1"/>
      <c r="N106" s="1"/>
      <c r="O106" s="1"/>
      <c r="P106" s="1"/>
      <c r="Q106" s="1"/>
      <c r="S106" s="1"/>
      <c r="T106" s="1"/>
      <c r="U106" s="1"/>
      <c r="V106" s="1"/>
      <c r="W106" s="1"/>
      <c r="X106" s="1"/>
      <c r="Y106" s="1"/>
      <c r="AA106" s="1"/>
      <c r="AB106" s="1"/>
      <c r="AC106" s="1"/>
      <c r="AD106" s="1"/>
      <c r="AE106" s="1"/>
      <c r="AF106" s="1"/>
      <c r="AG106" s="1"/>
    </row>
    <row r="107" spans="1:33" ht="20" customHeight="1" x14ac:dyDescent="0.2">
      <c r="A107" s="132" t="s">
        <v>64</v>
      </c>
      <c r="B107" s="26" t="s">
        <v>94</v>
      </c>
      <c r="C107" s="52">
        <f>C75+C105</f>
        <v>13345</v>
      </c>
      <c r="D107" s="52">
        <f>D75+D105</f>
        <v>8742.3499970000084</v>
      </c>
      <c r="E107" s="52">
        <f>E75+E105</f>
        <v>10673.443439045546</v>
      </c>
      <c r="F107" s="52">
        <f>F75+F105</f>
        <v>13253.575554402214</v>
      </c>
      <c r="G107" s="52">
        <f>G105+G75</f>
        <v>15782.006008029388</v>
      </c>
      <c r="H107" s="52">
        <f>H75+H105</f>
        <v>17305.873641520269</v>
      </c>
      <c r="I107" s="35">
        <f>I75+I105</f>
        <v>19053.394259993842</v>
      </c>
      <c r="J107" s="95"/>
      <c r="K107" s="52">
        <f>K75+K105</f>
        <v>12450.949999999997</v>
      </c>
      <c r="L107" s="52">
        <f t="shared" ref="L107:Q107" si="69">L75+L105</f>
        <v>12536.75845914871</v>
      </c>
      <c r="M107" s="52">
        <f t="shared" si="69"/>
        <v>20000.69990163625</v>
      </c>
      <c r="N107" s="52">
        <f t="shared" si="69"/>
        <v>27453.84969699334</v>
      </c>
      <c r="O107" s="52">
        <f t="shared" si="69"/>
        <v>33764.423599182555</v>
      </c>
      <c r="P107" s="52">
        <f t="shared" si="69"/>
        <v>39974.694431609125</v>
      </c>
      <c r="Q107" s="35">
        <f t="shared" si="69"/>
        <v>46334.846189467396</v>
      </c>
      <c r="S107" s="52">
        <f>S75+S105</f>
        <v>2148.2000000000007</v>
      </c>
      <c r="T107" s="52">
        <f t="shared" ref="T107:Y107" si="70">T75+T105</f>
        <v>1240.2000000000007</v>
      </c>
      <c r="U107" s="52">
        <f t="shared" si="70"/>
        <v>4664.0262499999972</v>
      </c>
      <c r="V107" s="52">
        <f t="shared" si="70"/>
        <v>13507.343362000005</v>
      </c>
      <c r="W107" s="52">
        <f t="shared" si="70"/>
        <v>24578.257310000001</v>
      </c>
      <c r="X107" s="52">
        <f t="shared" si="70"/>
        <v>34796.461178720005</v>
      </c>
      <c r="Y107" s="35">
        <f t="shared" si="70"/>
        <v>42990.127258733221</v>
      </c>
      <c r="AA107" s="52">
        <f>AA75+AA105</f>
        <v>3339.75</v>
      </c>
      <c r="AB107" s="52">
        <f t="shared" ref="AB107:AG107" si="71">AB75+AB105</f>
        <v>2946.3508855333284</v>
      </c>
      <c r="AC107" s="52">
        <f t="shared" si="71"/>
        <v>5721.2682266222173</v>
      </c>
      <c r="AD107" s="52">
        <f t="shared" si="71"/>
        <v>9039.1931520561066</v>
      </c>
      <c r="AE107" s="52">
        <f t="shared" si="71"/>
        <v>12981.223728780662</v>
      </c>
      <c r="AF107" s="52">
        <f t="shared" si="71"/>
        <v>17639.032895798544</v>
      </c>
      <c r="AG107" s="35">
        <f t="shared" si="71"/>
        <v>22116.189803213761</v>
      </c>
    </row>
    <row r="108" spans="1:33" ht="20" customHeight="1" x14ac:dyDescent="0.2">
      <c r="B108" s="6"/>
      <c r="C108" s="3"/>
      <c r="D108" s="3"/>
      <c r="E108" s="3"/>
      <c r="F108" s="3"/>
      <c r="G108" s="3"/>
      <c r="H108" s="3"/>
      <c r="I108" s="3"/>
      <c r="J108" s="86"/>
      <c r="K108" s="3"/>
      <c r="L108" s="3"/>
      <c r="M108" s="3"/>
      <c r="N108" s="3"/>
      <c r="O108" s="3"/>
      <c r="P108" s="3"/>
      <c r="Q108" s="3"/>
      <c r="R108" s="86"/>
      <c r="S108" s="3"/>
      <c r="T108" s="3"/>
      <c r="U108" s="3"/>
      <c r="V108" s="3"/>
      <c r="W108" s="3"/>
      <c r="X108" s="3"/>
      <c r="Y108" s="3"/>
      <c r="Z108" s="86"/>
      <c r="AA108" s="3"/>
      <c r="AB108" s="3"/>
      <c r="AC108" s="3"/>
      <c r="AD108" s="3"/>
      <c r="AE108" s="3"/>
      <c r="AF108" s="3"/>
      <c r="AG108" s="3"/>
    </row>
    <row r="109" spans="1:33" ht="20" customHeight="1" x14ac:dyDescent="0.2">
      <c r="C109" s="122"/>
      <c r="D109" s="122"/>
      <c r="E109" s="122"/>
      <c r="F109" s="122"/>
      <c r="G109" s="123"/>
      <c r="H109" s="123"/>
      <c r="I109" s="123"/>
      <c r="K109" s="122"/>
      <c r="L109" s="122"/>
      <c r="M109" s="122"/>
      <c r="N109" s="122"/>
      <c r="O109" s="122"/>
      <c r="P109" s="122"/>
      <c r="Q109" s="122"/>
      <c r="S109" s="122"/>
      <c r="T109" s="122"/>
      <c r="U109" s="122"/>
      <c r="V109" s="122"/>
      <c r="W109" s="122"/>
      <c r="X109" s="122"/>
      <c r="Y109" s="122"/>
      <c r="AB109" s="122"/>
      <c r="AC109" s="122"/>
      <c r="AD109" s="122"/>
      <c r="AE109" s="122"/>
      <c r="AF109" s="122"/>
      <c r="AG109" s="122"/>
    </row>
    <row r="110" spans="1:33" ht="20" customHeight="1" thickBot="1" x14ac:dyDescent="0.25">
      <c r="B110" s="34" t="s">
        <v>95</v>
      </c>
      <c r="D110" s="79"/>
      <c r="G110" s="95"/>
      <c r="H110" s="95"/>
      <c r="I110" s="95"/>
      <c r="M110" s="78"/>
    </row>
    <row r="111" spans="1:33" ht="20" customHeight="1" x14ac:dyDescent="0.2">
      <c r="B111" s="406"/>
      <c r="C111" s="409" t="s">
        <v>1</v>
      </c>
      <c r="D111" s="409"/>
      <c r="E111" s="409"/>
      <c r="F111" s="409"/>
      <c r="G111" s="409"/>
      <c r="H111" s="409"/>
      <c r="I111" s="409"/>
      <c r="K111" s="409" t="s">
        <v>2</v>
      </c>
      <c r="L111" s="409"/>
      <c r="M111" s="409"/>
      <c r="N111" s="409"/>
      <c r="O111" s="409"/>
      <c r="P111" s="409"/>
      <c r="Q111" s="409"/>
      <c r="S111" s="409" t="s">
        <v>3</v>
      </c>
      <c r="T111" s="409"/>
      <c r="U111" s="409"/>
      <c r="V111" s="409"/>
      <c r="W111" s="409"/>
      <c r="X111" s="409"/>
      <c r="Y111" s="409"/>
      <c r="AA111" s="409" t="s">
        <v>4</v>
      </c>
      <c r="AB111" s="409"/>
      <c r="AC111" s="409"/>
      <c r="AD111" s="409"/>
      <c r="AE111" s="409"/>
      <c r="AF111" s="409"/>
      <c r="AG111" s="409"/>
    </row>
    <row r="112" spans="1:33" ht="20" customHeight="1" x14ac:dyDescent="0.2">
      <c r="B112" s="41"/>
      <c r="C112" s="41" t="s">
        <v>96</v>
      </c>
      <c r="D112" s="41" t="s">
        <v>97</v>
      </c>
      <c r="E112" s="97" t="s">
        <v>98</v>
      </c>
      <c r="F112" s="97" t="s">
        <v>99</v>
      </c>
      <c r="G112" s="97" t="s">
        <v>100</v>
      </c>
      <c r="H112" s="97" t="s">
        <v>101</v>
      </c>
      <c r="I112" s="97" t="s">
        <v>102</v>
      </c>
      <c r="K112" s="41" t="s">
        <v>96</v>
      </c>
      <c r="L112" s="41" t="s">
        <v>97</v>
      </c>
      <c r="M112" s="97" t="s">
        <v>98</v>
      </c>
      <c r="N112" s="97" t="s">
        <v>99</v>
      </c>
      <c r="O112" s="97" t="s">
        <v>100</v>
      </c>
      <c r="P112" s="97" t="s">
        <v>101</v>
      </c>
      <c r="Q112" s="97" t="s">
        <v>102</v>
      </c>
      <c r="S112" s="41" t="s">
        <v>96</v>
      </c>
      <c r="T112" s="41" t="s">
        <v>97</v>
      </c>
      <c r="U112" s="97" t="s">
        <v>98</v>
      </c>
      <c r="V112" s="97" t="s">
        <v>99</v>
      </c>
      <c r="W112" s="97" t="s">
        <v>100</v>
      </c>
      <c r="X112" s="97" t="s">
        <v>101</v>
      </c>
      <c r="Y112" s="97" t="s">
        <v>102</v>
      </c>
      <c r="AA112" s="41" t="s">
        <v>96</v>
      </c>
      <c r="AB112" s="41" t="s">
        <v>97</v>
      </c>
      <c r="AC112" s="97" t="s">
        <v>98</v>
      </c>
      <c r="AD112" s="97" t="s">
        <v>99</v>
      </c>
      <c r="AE112" s="97" t="s">
        <v>100</v>
      </c>
      <c r="AF112" s="97" t="s">
        <v>101</v>
      </c>
      <c r="AG112" s="97" t="s">
        <v>102</v>
      </c>
    </row>
    <row r="113" spans="2:33" ht="20" customHeight="1" thickBot="1" x14ac:dyDescent="0.25">
      <c r="B113" s="11" t="s">
        <v>103</v>
      </c>
      <c r="C113" s="67">
        <f t="shared" ref="C113:I113" si="72">C114+C123</f>
        <v>66691.8</v>
      </c>
      <c r="D113" s="67">
        <f t="shared" si="72"/>
        <v>64982.35</v>
      </c>
      <c r="E113" s="67">
        <f t="shared" si="72"/>
        <v>65053.023441999991</v>
      </c>
      <c r="F113" s="67">
        <f t="shared" si="72"/>
        <v>66315.460157399997</v>
      </c>
      <c r="G113" s="67">
        <f t="shared" si="72"/>
        <v>67465.883673000004</v>
      </c>
      <c r="H113" s="67">
        <f t="shared" si="72"/>
        <v>67548.250056639998</v>
      </c>
      <c r="I113" s="53">
        <f t="shared" si="72"/>
        <v>67787.438216775801</v>
      </c>
      <c r="K113" s="67">
        <f t="shared" ref="K113:Q113" si="73">K114+K123</f>
        <v>53576.95</v>
      </c>
      <c r="L113" s="67">
        <f t="shared" si="73"/>
        <v>53768.641012605265</v>
      </c>
      <c r="M113" s="67">
        <f t="shared" si="73"/>
        <v>58666.123774820509</v>
      </c>
      <c r="N113" s="67">
        <f t="shared" si="73"/>
        <v>63408.909758451809</v>
      </c>
      <c r="O113" s="67">
        <f t="shared" si="73"/>
        <v>66857.26583642175</v>
      </c>
      <c r="P113" s="67">
        <f t="shared" si="73"/>
        <v>70045.078339813103</v>
      </c>
      <c r="Q113" s="53">
        <f t="shared" si="73"/>
        <v>73213.68308635171</v>
      </c>
      <c r="S113" s="67">
        <f t="shared" ref="S113:Y113" si="74">S114+S123</f>
        <v>16911.2</v>
      </c>
      <c r="T113" s="67">
        <f t="shared" si="74"/>
        <v>16086.2</v>
      </c>
      <c r="U113" s="67">
        <f t="shared" si="74"/>
        <v>18844.346249999995</v>
      </c>
      <c r="V113" s="67">
        <f t="shared" si="74"/>
        <v>26982.042562000002</v>
      </c>
      <c r="W113" s="67">
        <f t="shared" si="74"/>
        <v>37304.998461999996</v>
      </c>
      <c r="X113" s="67">
        <f t="shared" si="74"/>
        <v>46730.366799840005</v>
      </c>
      <c r="Y113" s="53">
        <f t="shared" si="74"/>
        <v>54083.627217120425</v>
      </c>
      <c r="AA113" s="67">
        <f t="shared" ref="AA113:AG113" si="75">AA114+AA123</f>
        <v>4995.75</v>
      </c>
      <c r="AB113" s="67">
        <f t="shared" si="75"/>
        <v>4633.173107755546</v>
      </c>
      <c r="AC113" s="67">
        <f t="shared" si="75"/>
        <v>7260.795826622214</v>
      </c>
      <c r="AD113" s="67">
        <f t="shared" si="75"/>
        <v>10425.534344944992</v>
      </c>
      <c r="AE113" s="67">
        <f t="shared" si="75"/>
        <v>14208.251058273992</v>
      </c>
      <c r="AF113" s="67">
        <f t="shared" si="75"/>
        <v>18700.373807360502</v>
      </c>
      <c r="AG113" s="53">
        <f t="shared" si="75"/>
        <v>23005.216840127086</v>
      </c>
    </row>
    <row r="114" spans="2:33" ht="20" customHeight="1" x14ac:dyDescent="0.2">
      <c r="B114" s="87" t="s">
        <v>104</v>
      </c>
      <c r="C114" s="62">
        <f>SUM(C115:C118)</f>
        <v>51046.8</v>
      </c>
      <c r="D114" s="62">
        <f t="shared" ref="D114:I114" si="76">SUM(D115:D118)</f>
        <v>53846</v>
      </c>
      <c r="E114" s="48">
        <f t="shared" si="76"/>
        <v>52057.399999999994</v>
      </c>
      <c r="F114" s="48">
        <f t="shared" si="76"/>
        <v>50809.37</v>
      </c>
      <c r="G114" s="48">
        <f t="shared" si="76"/>
        <v>49498.938500000004</v>
      </c>
      <c r="H114" s="48">
        <f t="shared" si="76"/>
        <v>48122.985424999999</v>
      </c>
      <c r="I114" s="54">
        <f t="shared" si="76"/>
        <v>46678.234696250001</v>
      </c>
      <c r="K114" s="48">
        <f t="shared" ref="K114:Q114" si="77">SUM(K115:K118)</f>
        <v>35926</v>
      </c>
      <c r="L114" s="48">
        <f t="shared" si="77"/>
        <v>36026.09723146593</v>
      </c>
      <c r="M114" s="48">
        <f t="shared" si="77"/>
        <v>33395.086813200956</v>
      </c>
      <c r="N114" s="48">
        <f t="shared" si="77"/>
        <v>30619.37082193137</v>
      </c>
      <c r="O114" s="48">
        <f t="shared" si="77"/>
        <v>27690.990451141952</v>
      </c>
      <c r="P114" s="48">
        <f t="shared" si="77"/>
        <v>24601.549159959133</v>
      </c>
      <c r="Q114" s="54">
        <f t="shared" si="77"/>
        <v>21342.18859776124</v>
      </c>
      <c r="S114" s="48">
        <f t="shared" ref="S114:Y114" si="78">SUM(S115:S118)</f>
        <v>14763</v>
      </c>
      <c r="T114" s="48">
        <f t="shared" si="78"/>
        <v>14846</v>
      </c>
      <c r="U114" s="48">
        <f t="shared" si="78"/>
        <v>14180.32</v>
      </c>
      <c r="V114" s="48">
        <f t="shared" si="78"/>
        <v>13474.699199999995</v>
      </c>
      <c r="W114" s="48">
        <f t="shared" si="78"/>
        <v>12726.741151999995</v>
      </c>
      <c r="X114" s="48">
        <f t="shared" si="78"/>
        <v>11933.905621120002</v>
      </c>
      <c r="Y114" s="54">
        <f t="shared" si="78"/>
        <v>11093.499958387203</v>
      </c>
      <c r="AA114" s="48">
        <f t="shared" ref="AA114:AG114" si="79">SUM(AA115:AA118)</f>
        <v>1556</v>
      </c>
      <c r="AB114" s="48">
        <f t="shared" si="79"/>
        <v>1545.7111111111064</v>
      </c>
      <c r="AC114" s="48">
        <f t="shared" si="79"/>
        <v>1398.4164888888859</v>
      </c>
      <c r="AD114" s="48">
        <f t="shared" si="79"/>
        <v>1245.2300817777746</v>
      </c>
      <c r="AE114" s="48">
        <f t="shared" si="79"/>
        <v>1085.9162183822198</v>
      </c>
      <c r="AF114" s="48">
        <f t="shared" si="79"/>
        <v>920.22980045084705</v>
      </c>
      <c r="AG114" s="54">
        <f t="shared" si="79"/>
        <v>747.91592580221641</v>
      </c>
    </row>
    <row r="115" spans="2:33" ht="20" customHeight="1" x14ac:dyDescent="0.2">
      <c r="B115" s="88" t="s">
        <v>105</v>
      </c>
      <c r="C115" s="135">
        <v>36499.800000000003</v>
      </c>
      <c r="D115" s="91">
        <v>36163</v>
      </c>
      <c r="E115" s="91">
        <v>35721.817999999992</v>
      </c>
      <c r="F115" s="91">
        <v>34810.267026000001</v>
      </c>
      <c r="G115" s="91">
        <v>33593.845953882003</v>
      </c>
      <c r="H115" s="91">
        <v>32330.860858365075</v>
      </c>
      <c r="I115" s="77">
        <v>31224.220485980379</v>
      </c>
      <c r="K115" s="72">
        <v>3826</v>
      </c>
      <c r="L115" s="72">
        <v>3825.903448275862</v>
      </c>
      <c r="M115" s="91">
        <v>3067.8814030194872</v>
      </c>
      <c r="N115" s="91">
        <v>2310.5330871390088</v>
      </c>
      <c r="O115" s="91">
        <v>1554.622452262045</v>
      </c>
      <c r="P115" s="91">
        <v>799.99908114643245</v>
      </c>
      <c r="Q115" s="77">
        <v>45.545514219780216</v>
      </c>
      <c r="S115" s="72">
        <v>7563</v>
      </c>
      <c r="T115" s="72">
        <v>7563</v>
      </c>
      <c r="U115" s="91">
        <v>7052.9909999999991</v>
      </c>
      <c r="V115" s="91">
        <v>6577.3473469999954</v>
      </c>
      <c r="W115" s="91">
        <v>6133.4774286789961</v>
      </c>
      <c r="X115" s="91">
        <v>5719.6542379018065</v>
      </c>
      <c r="Y115" s="77">
        <v>5333.9633846473898</v>
      </c>
      <c r="AA115" s="72">
        <v>926</v>
      </c>
      <c r="AB115" s="72">
        <v>925.1555555555509</v>
      </c>
      <c r="AC115" s="91">
        <v>778.74482222221934</v>
      </c>
      <c r="AD115" s="91">
        <v>626.40429677777456</v>
      </c>
      <c r="AE115" s="91">
        <v>467.8999421372198</v>
      </c>
      <c r="AF115" s="91">
        <v>302.98822408438207</v>
      </c>
      <c r="AG115" s="77">
        <v>131.41573721950937</v>
      </c>
    </row>
    <row r="116" spans="2:33" ht="20" customHeight="1" x14ac:dyDescent="0.2">
      <c r="B116" s="88" t="s">
        <v>106</v>
      </c>
      <c r="C116" s="62">
        <v>9990</v>
      </c>
      <c r="D116" s="62">
        <v>13126</v>
      </c>
      <c r="E116" s="62">
        <v>11778.582</v>
      </c>
      <c r="F116" s="62">
        <v>11442.102973999999</v>
      </c>
      <c r="G116" s="62">
        <v>11348.092546118</v>
      </c>
      <c r="H116" s="62">
        <v>11235.124566634926</v>
      </c>
      <c r="I116" s="7">
        <v>10897.014210269625</v>
      </c>
      <c r="K116" s="48">
        <v>31600</v>
      </c>
      <c r="L116" s="48">
        <v>31700.193783190069</v>
      </c>
      <c r="M116" s="62">
        <v>29827.205410181472</v>
      </c>
      <c r="N116" s="62">
        <v>27808.837734792363</v>
      </c>
      <c r="O116" s="62">
        <v>25636.367998879905</v>
      </c>
      <c r="P116" s="62">
        <v>23301.550078812699</v>
      </c>
      <c r="Q116" s="7">
        <v>20796.643083541461</v>
      </c>
      <c r="S116" s="48">
        <v>6500</v>
      </c>
      <c r="T116" s="48">
        <v>6597</v>
      </c>
      <c r="U116" s="62">
        <v>6441.3289999999997</v>
      </c>
      <c r="V116" s="62">
        <v>6211.3518529999992</v>
      </c>
      <c r="W116" s="62">
        <v>5907.2637233209989</v>
      </c>
      <c r="X116" s="62">
        <v>5528.2513832181958</v>
      </c>
      <c r="Y116" s="7">
        <v>5073.5365737398133</v>
      </c>
      <c r="AA116" s="48">
        <v>30</v>
      </c>
      <c r="AB116" s="48">
        <v>20.555555555555557</v>
      </c>
      <c r="AC116" s="62">
        <v>19.671666666666667</v>
      </c>
      <c r="AD116" s="62">
        <v>18.825785</v>
      </c>
      <c r="AE116" s="62">
        <v>18.016276245</v>
      </c>
      <c r="AF116" s="62">
        <v>17.241576366465001</v>
      </c>
      <c r="AG116" s="7">
        <v>16.500188582707004</v>
      </c>
    </row>
    <row r="117" spans="2:33" ht="20" customHeight="1" x14ac:dyDescent="0.2">
      <c r="B117" s="88" t="s">
        <v>107</v>
      </c>
      <c r="C117" s="62">
        <v>1042</v>
      </c>
      <c r="D117" s="62">
        <v>1042</v>
      </c>
      <c r="E117" s="62">
        <v>1042</v>
      </c>
      <c r="F117" s="62">
        <v>1042</v>
      </c>
      <c r="G117" s="62">
        <v>1042</v>
      </c>
      <c r="H117" s="62">
        <v>1042</v>
      </c>
      <c r="I117" s="7">
        <v>1042</v>
      </c>
      <c r="K117" s="48">
        <v>500</v>
      </c>
      <c r="L117" s="48">
        <v>500</v>
      </c>
      <c r="M117" s="62">
        <v>500</v>
      </c>
      <c r="N117" s="62">
        <v>500</v>
      </c>
      <c r="O117" s="62">
        <v>500</v>
      </c>
      <c r="P117" s="62">
        <v>500</v>
      </c>
      <c r="Q117" s="7">
        <v>500</v>
      </c>
      <c r="S117" s="48">
        <v>700</v>
      </c>
      <c r="T117" s="48">
        <v>686</v>
      </c>
      <c r="U117" s="62">
        <v>686</v>
      </c>
      <c r="V117" s="62">
        <v>686</v>
      </c>
      <c r="W117" s="62">
        <v>686</v>
      </c>
      <c r="X117" s="62">
        <v>686</v>
      </c>
      <c r="Y117" s="7">
        <v>686</v>
      </c>
      <c r="AA117" s="48">
        <v>600</v>
      </c>
      <c r="AB117" s="48">
        <v>600</v>
      </c>
      <c r="AC117" s="62">
        <v>600</v>
      </c>
      <c r="AD117" s="62">
        <v>600</v>
      </c>
      <c r="AE117" s="62">
        <v>600</v>
      </c>
      <c r="AF117" s="62">
        <v>600</v>
      </c>
      <c r="AG117" s="7">
        <v>600</v>
      </c>
    </row>
    <row r="118" spans="2:33" ht="20" customHeight="1" x14ac:dyDescent="0.2">
      <c r="B118" s="88" t="s">
        <v>108</v>
      </c>
      <c r="C118" s="62">
        <v>3515</v>
      </c>
      <c r="D118" s="62">
        <v>3515</v>
      </c>
      <c r="E118" s="62">
        <v>3515</v>
      </c>
      <c r="F118" s="62">
        <v>3515</v>
      </c>
      <c r="G118" s="62">
        <v>3515</v>
      </c>
      <c r="H118" s="62">
        <v>3515</v>
      </c>
      <c r="I118" s="7">
        <v>3515</v>
      </c>
      <c r="K118" s="48">
        <v>0</v>
      </c>
      <c r="L118" s="48">
        <v>0</v>
      </c>
      <c r="M118" s="62">
        <v>0</v>
      </c>
      <c r="N118" s="62">
        <v>0</v>
      </c>
      <c r="O118" s="62">
        <v>0</v>
      </c>
      <c r="P118" s="62">
        <v>0</v>
      </c>
      <c r="Q118" s="7">
        <v>0</v>
      </c>
      <c r="S118" s="48">
        <v>0</v>
      </c>
      <c r="T118" s="48">
        <v>0</v>
      </c>
      <c r="U118" s="62">
        <v>0</v>
      </c>
      <c r="V118" s="62">
        <v>0</v>
      </c>
      <c r="W118" s="62">
        <v>0</v>
      </c>
      <c r="X118" s="62">
        <v>0</v>
      </c>
      <c r="Y118" s="7">
        <v>0</v>
      </c>
      <c r="AA118" s="48">
        <v>0</v>
      </c>
      <c r="AB118" s="48">
        <v>0</v>
      </c>
      <c r="AC118" s="62">
        <v>0</v>
      </c>
      <c r="AD118" s="62">
        <v>0</v>
      </c>
      <c r="AE118" s="62">
        <v>0</v>
      </c>
      <c r="AF118" s="62">
        <v>0</v>
      </c>
      <c r="AG118" s="7">
        <v>0</v>
      </c>
    </row>
    <row r="119" spans="2:33" ht="20" customHeight="1" x14ac:dyDescent="0.2">
      <c r="B119" s="15" t="s">
        <v>109</v>
      </c>
      <c r="C119" s="92">
        <v>2000</v>
      </c>
      <c r="D119" s="92">
        <v>2000</v>
      </c>
      <c r="E119" s="92">
        <v>2000</v>
      </c>
      <c r="F119" s="92">
        <v>2000</v>
      </c>
      <c r="G119" s="92">
        <v>2000</v>
      </c>
      <c r="H119" s="92">
        <v>2000</v>
      </c>
      <c r="I119" s="73">
        <v>2000</v>
      </c>
      <c r="K119" s="92">
        <v>0</v>
      </c>
      <c r="L119" s="92">
        <v>0</v>
      </c>
      <c r="M119" s="93">
        <v>0</v>
      </c>
      <c r="N119" s="93">
        <v>0</v>
      </c>
      <c r="O119" s="93">
        <v>0</v>
      </c>
      <c r="P119" s="93">
        <v>0</v>
      </c>
      <c r="Q119" s="73">
        <v>0</v>
      </c>
      <c r="S119" s="92">
        <v>0</v>
      </c>
      <c r="T119" s="92">
        <v>0</v>
      </c>
      <c r="U119" s="93">
        <v>0</v>
      </c>
      <c r="V119" s="93">
        <v>0</v>
      </c>
      <c r="W119" s="93">
        <v>0</v>
      </c>
      <c r="X119" s="93">
        <v>0</v>
      </c>
      <c r="Y119" s="73">
        <v>0</v>
      </c>
      <c r="AA119" s="92">
        <v>0</v>
      </c>
      <c r="AB119" s="92">
        <v>0</v>
      </c>
      <c r="AC119" s="93">
        <v>0</v>
      </c>
      <c r="AD119" s="93">
        <v>0</v>
      </c>
      <c r="AE119" s="93">
        <v>0</v>
      </c>
      <c r="AF119" s="93">
        <v>0</v>
      </c>
      <c r="AG119" s="73">
        <v>0</v>
      </c>
    </row>
    <row r="120" spans="2:33" ht="20" customHeight="1" x14ac:dyDescent="0.2">
      <c r="B120" s="15" t="s">
        <v>110</v>
      </c>
      <c r="C120" s="92">
        <v>1500</v>
      </c>
      <c r="D120" s="92">
        <v>1500</v>
      </c>
      <c r="E120" s="93">
        <v>1500</v>
      </c>
      <c r="F120" s="93">
        <v>1500</v>
      </c>
      <c r="G120" s="93">
        <v>1500</v>
      </c>
      <c r="H120" s="93">
        <v>1500</v>
      </c>
      <c r="I120" s="73">
        <v>1500</v>
      </c>
      <c r="K120" s="92">
        <v>0</v>
      </c>
      <c r="L120" s="92">
        <v>0</v>
      </c>
      <c r="M120" s="93">
        <v>0</v>
      </c>
      <c r="N120" s="93">
        <v>0</v>
      </c>
      <c r="O120" s="93">
        <v>0</v>
      </c>
      <c r="P120" s="93">
        <v>0</v>
      </c>
      <c r="Q120" s="73">
        <v>0</v>
      </c>
      <c r="S120" s="92">
        <v>0</v>
      </c>
      <c r="T120" s="92">
        <v>0</v>
      </c>
      <c r="U120" s="93">
        <v>0</v>
      </c>
      <c r="V120" s="93">
        <v>0</v>
      </c>
      <c r="W120" s="93">
        <v>0</v>
      </c>
      <c r="X120" s="93">
        <v>0</v>
      </c>
      <c r="Y120" s="73">
        <v>0</v>
      </c>
      <c r="AA120" s="92">
        <v>0</v>
      </c>
      <c r="AB120" s="92">
        <v>0</v>
      </c>
      <c r="AC120" s="93">
        <v>0</v>
      </c>
      <c r="AD120" s="93">
        <v>0</v>
      </c>
      <c r="AE120" s="93">
        <v>0</v>
      </c>
      <c r="AF120" s="93">
        <v>0</v>
      </c>
      <c r="AG120" s="73">
        <v>0</v>
      </c>
    </row>
    <row r="121" spans="2:33" ht="20" customHeight="1" x14ac:dyDescent="0.2">
      <c r="B121" s="15" t="s">
        <v>111</v>
      </c>
      <c r="C121" s="92">
        <v>15</v>
      </c>
      <c r="D121" s="92">
        <v>15</v>
      </c>
      <c r="E121" s="93">
        <v>15</v>
      </c>
      <c r="F121" s="93">
        <v>15</v>
      </c>
      <c r="G121" s="93">
        <v>15</v>
      </c>
      <c r="H121" s="93">
        <v>15</v>
      </c>
      <c r="I121" s="73">
        <v>15</v>
      </c>
      <c r="K121" s="92">
        <v>0</v>
      </c>
      <c r="L121" s="92">
        <v>0</v>
      </c>
      <c r="M121" s="93">
        <v>0</v>
      </c>
      <c r="N121" s="93">
        <v>0</v>
      </c>
      <c r="O121" s="93">
        <v>0</v>
      </c>
      <c r="P121" s="93">
        <v>0</v>
      </c>
      <c r="Q121" s="73">
        <v>0</v>
      </c>
      <c r="S121" s="92">
        <v>0</v>
      </c>
      <c r="T121" s="92">
        <v>0</v>
      </c>
      <c r="U121" s="93">
        <v>0</v>
      </c>
      <c r="V121" s="93">
        <v>0</v>
      </c>
      <c r="W121" s="93">
        <v>0</v>
      </c>
      <c r="X121" s="93">
        <v>0</v>
      </c>
      <c r="Y121" s="73">
        <v>0</v>
      </c>
      <c r="AA121" s="92">
        <v>0</v>
      </c>
      <c r="AB121" s="92">
        <v>0</v>
      </c>
      <c r="AC121" s="93">
        <v>0</v>
      </c>
      <c r="AD121" s="93">
        <v>0</v>
      </c>
      <c r="AE121" s="93">
        <v>0</v>
      </c>
      <c r="AF121" s="93">
        <v>0</v>
      </c>
      <c r="AG121" s="73">
        <v>0</v>
      </c>
    </row>
    <row r="122" spans="2:33" ht="20" customHeight="1" x14ac:dyDescent="0.2">
      <c r="B122" s="83"/>
      <c r="C122" s="408"/>
      <c r="D122" s="408"/>
      <c r="E122" s="408"/>
      <c r="F122" s="408"/>
      <c r="G122" s="408"/>
      <c r="H122" s="408"/>
      <c r="I122" s="408"/>
      <c r="K122" s="408"/>
      <c r="L122" s="408"/>
      <c r="M122" s="408"/>
      <c r="N122" s="408"/>
      <c r="O122" s="408"/>
      <c r="P122" s="408"/>
      <c r="Q122" s="408"/>
      <c r="S122" s="408"/>
      <c r="T122" s="408"/>
      <c r="U122" s="408"/>
      <c r="V122" s="408"/>
      <c r="W122" s="408"/>
      <c r="X122" s="408"/>
      <c r="Y122" s="408"/>
      <c r="AA122" s="408"/>
      <c r="AB122" s="408"/>
      <c r="AC122" s="408"/>
      <c r="AD122" s="408"/>
      <c r="AE122" s="408"/>
      <c r="AF122" s="408"/>
      <c r="AG122" s="408"/>
    </row>
    <row r="123" spans="2:33" ht="20" customHeight="1" x14ac:dyDescent="0.2">
      <c r="B123" s="18" t="s">
        <v>112</v>
      </c>
      <c r="C123" s="428">
        <f t="shared" ref="C123:L123" si="80">SUM(C124:C125)</f>
        <v>15645</v>
      </c>
      <c r="D123" s="48">
        <f t="shared" si="80"/>
        <v>11136.35</v>
      </c>
      <c r="E123" s="48">
        <f t="shared" si="80"/>
        <v>12995.623442</v>
      </c>
      <c r="F123" s="48">
        <f t="shared" si="80"/>
        <v>15506.0901574</v>
      </c>
      <c r="G123" s="48">
        <f t="shared" si="80"/>
        <v>17966.945173</v>
      </c>
      <c r="H123" s="48">
        <f t="shared" si="80"/>
        <v>19425.264631639999</v>
      </c>
      <c r="I123" s="54">
        <f t="shared" si="80"/>
        <v>21109.2035205258</v>
      </c>
      <c r="K123" s="48">
        <f t="shared" si="80"/>
        <v>17650.949999999997</v>
      </c>
      <c r="L123" s="48">
        <f t="shared" si="80"/>
        <v>17742.543781139331</v>
      </c>
      <c r="M123" s="48">
        <f>SUM(M124:M125)</f>
        <v>25271.036961619553</v>
      </c>
      <c r="N123" s="48">
        <f>SUM(N124:N125)</f>
        <v>32789.538936520439</v>
      </c>
      <c r="O123" s="48">
        <f>SUM(O124:O125)</f>
        <v>39166.27538527979</v>
      </c>
      <c r="P123" s="48">
        <f>SUM(P124:P125)</f>
        <v>45443.529179853962</v>
      </c>
      <c r="Q123" s="54">
        <f>SUM(Q124:Q125)</f>
        <v>51871.49448859047</v>
      </c>
      <c r="S123" s="48">
        <f t="shared" ref="S123:Y123" si="81">SUM(S124:S125)</f>
        <v>2148.2000000000007</v>
      </c>
      <c r="T123" s="48">
        <f t="shared" si="81"/>
        <v>1240.2000000000007</v>
      </c>
      <c r="U123" s="48">
        <f t="shared" si="81"/>
        <v>4664.0262499999972</v>
      </c>
      <c r="V123" s="48">
        <f t="shared" si="81"/>
        <v>13507.343362000005</v>
      </c>
      <c r="W123" s="48">
        <f t="shared" si="81"/>
        <v>24578.257310000001</v>
      </c>
      <c r="X123" s="48">
        <f t="shared" si="81"/>
        <v>34796.461178720005</v>
      </c>
      <c r="Y123" s="54">
        <f t="shared" si="81"/>
        <v>42990.127258733221</v>
      </c>
      <c r="AA123" s="48">
        <f t="shared" ref="AA123:AG123" si="82">SUM(AA124:AA125)</f>
        <v>3439.75</v>
      </c>
      <c r="AB123" s="48">
        <f t="shared" si="82"/>
        <v>3087.4619966444398</v>
      </c>
      <c r="AC123" s="48">
        <f t="shared" si="82"/>
        <v>5862.3793377333286</v>
      </c>
      <c r="AD123" s="48">
        <f t="shared" si="82"/>
        <v>9180.3042631672179</v>
      </c>
      <c r="AE123" s="48">
        <f t="shared" si="82"/>
        <v>13122.334839891773</v>
      </c>
      <c r="AF123" s="48">
        <f t="shared" si="82"/>
        <v>17780.144006909653</v>
      </c>
      <c r="AG123" s="54">
        <f t="shared" si="82"/>
        <v>22257.300914324871</v>
      </c>
    </row>
    <row r="124" spans="2:33" ht="20" customHeight="1" x14ac:dyDescent="0.2">
      <c r="B124" s="19" t="s">
        <v>113</v>
      </c>
      <c r="C124" s="72">
        <v>2300</v>
      </c>
      <c r="D124" s="72">
        <v>2394</v>
      </c>
      <c r="E124" s="91">
        <v>2322.1799999999998</v>
      </c>
      <c r="F124" s="91">
        <v>2252.5146</v>
      </c>
      <c r="G124" s="91">
        <v>2184.9391620000001</v>
      </c>
      <c r="H124" s="91">
        <v>2119.3909871400001</v>
      </c>
      <c r="I124" s="77">
        <v>2055.8092575258001</v>
      </c>
      <c r="K124" s="72">
        <v>5200</v>
      </c>
      <c r="L124" s="72">
        <v>5205.7853219906201</v>
      </c>
      <c r="M124" s="91">
        <v>5270.3370599833033</v>
      </c>
      <c r="N124" s="91">
        <v>5335.6892395270961</v>
      </c>
      <c r="O124" s="91">
        <v>5401.8517860972315</v>
      </c>
      <c r="P124" s="91">
        <v>5468.8347482448371</v>
      </c>
      <c r="Q124" s="77">
        <v>5536.6482991230732</v>
      </c>
      <c r="S124" s="72">
        <v>0</v>
      </c>
      <c r="T124" s="72">
        <v>0</v>
      </c>
      <c r="U124" s="91">
        <v>0</v>
      </c>
      <c r="V124" s="91">
        <v>0</v>
      </c>
      <c r="W124" s="91">
        <v>0</v>
      </c>
      <c r="X124" s="91">
        <v>0</v>
      </c>
      <c r="Y124" s="77">
        <v>0</v>
      </c>
      <c r="AA124" s="72">
        <v>100</v>
      </c>
      <c r="AB124" s="72">
        <v>141.11111111111111</v>
      </c>
      <c r="AC124" s="91">
        <v>141.11111111111111</v>
      </c>
      <c r="AD124" s="91">
        <v>141.11111111111111</v>
      </c>
      <c r="AE124" s="91">
        <v>141.11111111111111</v>
      </c>
      <c r="AF124" s="91">
        <v>141.11111111111111</v>
      </c>
      <c r="AG124" s="77">
        <v>141.11111111111111</v>
      </c>
    </row>
    <row r="125" spans="2:33" ht="20" customHeight="1" x14ac:dyDescent="0.2">
      <c r="B125" s="61" t="s">
        <v>114</v>
      </c>
      <c r="C125" s="148">
        <v>13345</v>
      </c>
      <c r="D125" s="149">
        <v>8742.35</v>
      </c>
      <c r="E125" s="149">
        <v>10673.443442</v>
      </c>
      <c r="F125" s="149">
        <v>13253.5755574</v>
      </c>
      <c r="G125" s="149">
        <v>15782.006010999999</v>
      </c>
      <c r="H125" s="149">
        <v>17305.8736445</v>
      </c>
      <c r="I125" s="158">
        <v>19053.394262999998</v>
      </c>
      <c r="K125" s="154">
        <f t="shared" ref="K125:AG125" si="83">K107</f>
        <v>12450.949999999997</v>
      </c>
      <c r="L125" s="138">
        <f t="shared" si="83"/>
        <v>12536.75845914871</v>
      </c>
      <c r="M125" s="138">
        <f t="shared" si="83"/>
        <v>20000.69990163625</v>
      </c>
      <c r="N125" s="138">
        <f t="shared" si="83"/>
        <v>27453.84969699334</v>
      </c>
      <c r="O125" s="138">
        <f t="shared" si="83"/>
        <v>33764.423599182555</v>
      </c>
      <c r="P125" s="138">
        <f t="shared" si="83"/>
        <v>39974.694431609125</v>
      </c>
      <c r="Q125" s="157">
        <f t="shared" si="83"/>
        <v>46334.846189467396</v>
      </c>
      <c r="S125" s="154">
        <f t="shared" si="83"/>
        <v>2148.2000000000007</v>
      </c>
      <c r="T125" s="138">
        <f t="shared" si="83"/>
        <v>1240.2000000000007</v>
      </c>
      <c r="U125" s="138">
        <f t="shared" si="83"/>
        <v>4664.0262499999972</v>
      </c>
      <c r="V125" s="138">
        <f t="shared" si="83"/>
        <v>13507.343362000005</v>
      </c>
      <c r="W125" s="138">
        <f t="shared" si="83"/>
        <v>24578.257310000001</v>
      </c>
      <c r="X125" s="138">
        <f t="shared" si="83"/>
        <v>34796.461178720005</v>
      </c>
      <c r="Y125" s="153">
        <f t="shared" si="83"/>
        <v>42990.127258733221</v>
      </c>
      <c r="AA125" s="154">
        <f t="shared" si="83"/>
        <v>3339.75</v>
      </c>
      <c r="AB125" s="138">
        <f t="shared" si="83"/>
        <v>2946.3508855333284</v>
      </c>
      <c r="AC125" s="138">
        <f t="shared" si="83"/>
        <v>5721.2682266222173</v>
      </c>
      <c r="AD125" s="138">
        <f t="shared" si="83"/>
        <v>9039.1931520561066</v>
      </c>
      <c r="AE125" s="138">
        <f t="shared" si="83"/>
        <v>12981.223728780662</v>
      </c>
      <c r="AF125" s="138">
        <f t="shared" si="83"/>
        <v>17639.032895798544</v>
      </c>
      <c r="AG125" s="153">
        <f t="shared" si="83"/>
        <v>22116.189803213761</v>
      </c>
    </row>
    <row r="126" spans="2:33" ht="20" customHeight="1" x14ac:dyDescent="0.2">
      <c r="B126" s="23"/>
      <c r="C126" s="24"/>
      <c r="D126" s="24"/>
      <c r="E126" s="24"/>
      <c r="F126" s="24"/>
      <c r="G126" s="24"/>
      <c r="H126" s="24"/>
      <c r="I126" s="24"/>
      <c r="K126" s="24"/>
      <c r="L126" s="24"/>
      <c r="M126" s="24"/>
      <c r="N126" s="24"/>
      <c r="O126" s="24"/>
      <c r="P126" s="24"/>
      <c r="Q126" s="24"/>
      <c r="S126" s="24"/>
      <c r="T126" s="24"/>
      <c r="U126" s="24"/>
      <c r="V126" s="24"/>
      <c r="W126" s="24"/>
      <c r="X126" s="24"/>
      <c r="Y126" s="24"/>
      <c r="AA126" s="24"/>
      <c r="AB126" s="24"/>
      <c r="AC126" s="24"/>
      <c r="AD126" s="24"/>
      <c r="AE126" s="24"/>
      <c r="AF126" s="24"/>
      <c r="AG126" s="24"/>
    </row>
    <row r="127" spans="2:33" ht="20" customHeight="1" thickBot="1" x14ac:dyDescent="0.25">
      <c r="B127" s="25" t="s">
        <v>115</v>
      </c>
      <c r="C127" s="67">
        <f t="shared" ref="C127:I127" si="84">C128+C135</f>
        <v>66691.800000000017</v>
      </c>
      <c r="D127" s="67">
        <f t="shared" si="84"/>
        <v>64982.349999999991</v>
      </c>
      <c r="E127" s="67">
        <f t="shared" si="84"/>
        <v>65053.023439999874</v>
      </c>
      <c r="F127" s="67">
        <f t="shared" si="84"/>
        <v>66315.460160000017</v>
      </c>
      <c r="G127" s="67">
        <f t="shared" si="84"/>
        <v>67465.883669999981</v>
      </c>
      <c r="H127" s="67">
        <f t="shared" si="84"/>
        <v>67548.250059999991</v>
      </c>
      <c r="I127" s="53">
        <f t="shared" si="84"/>
        <v>67787.438219999953</v>
      </c>
      <c r="K127" s="67">
        <f t="shared" ref="K127:Q127" si="85">K128+K135</f>
        <v>53576.94999999999</v>
      </c>
      <c r="L127" s="67">
        <f t="shared" si="85"/>
        <v>53768.641010000014</v>
      </c>
      <c r="M127" s="67">
        <f t="shared" si="85"/>
        <v>58666.123780000031</v>
      </c>
      <c r="N127" s="67">
        <f t="shared" si="85"/>
        <v>63408.909759999937</v>
      </c>
      <c r="O127" s="67">
        <f t="shared" si="85"/>
        <v>66857.265840000007</v>
      </c>
      <c r="P127" s="67">
        <f t="shared" si="85"/>
        <v>70045.078339999993</v>
      </c>
      <c r="Q127" s="53">
        <f t="shared" si="85"/>
        <v>73213.683089999933</v>
      </c>
      <c r="S127" s="67">
        <f t="shared" ref="S127:Y127" si="86">S128+S135</f>
        <v>16911.200000000004</v>
      </c>
      <c r="T127" s="67">
        <f t="shared" si="86"/>
        <v>16086.200000000004</v>
      </c>
      <c r="U127" s="67">
        <f t="shared" si="86"/>
        <v>18844.346249999981</v>
      </c>
      <c r="V127" s="67">
        <f t="shared" si="86"/>
        <v>26982.042560000009</v>
      </c>
      <c r="W127" s="67">
        <f t="shared" si="86"/>
        <v>37304.998460000003</v>
      </c>
      <c r="X127" s="67">
        <f t="shared" si="86"/>
        <v>46730.366800000003</v>
      </c>
      <c r="Y127" s="53">
        <f t="shared" si="86"/>
        <v>54083.627209999984</v>
      </c>
      <c r="AA127" s="67">
        <f t="shared" ref="AA127:AG127" si="87">AA128+AA135</f>
        <v>4995.75</v>
      </c>
      <c r="AB127" s="67">
        <f t="shared" si="87"/>
        <v>4633.1731</v>
      </c>
      <c r="AC127" s="67">
        <f t="shared" si="87"/>
        <v>7260.7958000000017</v>
      </c>
      <c r="AD127" s="67">
        <f t="shared" si="87"/>
        <v>10425.53429999999</v>
      </c>
      <c r="AE127" s="67">
        <f t="shared" si="87"/>
        <v>14208.251099999999</v>
      </c>
      <c r="AF127" s="67">
        <f t="shared" si="87"/>
        <v>18700.373800000001</v>
      </c>
      <c r="AG127" s="53">
        <f t="shared" si="87"/>
        <v>23005.216799999987</v>
      </c>
    </row>
    <row r="128" spans="2:33" ht="20" customHeight="1" x14ac:dyDescent="0.2">
      <c r="B128" s="13" t="s">
        <v>116</v>
      </c>
      <c r="C128" s="48">
        <f t="shared" ref="C128:L128" si="88">C129</f>
        <v>57401.80000000001</v>
      </c>
      <c r="D128" s="48">
        <f t="shared" si="88"/>
        <v>57951.349999999991</v>
      </c>
      <c r="E128" s="48">
        <f t="shared" si="88"/>
        <v>59176.023439999874</v>
      </c>
      <c r="F128" s="48">
        <f t="shared" si="88"/>
        <v>60438.460160000024</v>
      </c>
      <c r="G128" s="48">
        <f t="shared" si="88"/>
        <v>61588.883669999981</v>
      </c>
      <c r="H128" s="48">
        <f t="shared" si="88"/>
        <v>61671.250059999991</v>
      </c>
      <c r="I128" s="54">
        <f t="shared" si="88"/>
        <v>61910.438219999953</v>
      </c>
      <c r="K128" s="48">
        <f t="shared" si="88"/>
        <v>37356.94999999999</v>
      </c>
      <c r="L128" s="48">
        <f t="shared" si="88"/>
        <v>37542.891051379323</v>
      </c>
      <c r="M128" s="48">
        <f>M129</f>
        <v>41710.02899379313</v>
      </c>
      <c r="N128" s="48">
        <f>N129</f>
        <v>45649.43566344821</v>
      </c>
      <c r="O128" s="48">
        <f>O129</f>
        <v>48214.074502068965</v>
      </c>
      <c r="P128" s="48">
        <f>P129</f>
        <v>50429.798036551714</v>
      </c>
      <c r="Q128" s="54">
        <f>Q129</f>
        <v>52529.104924482686</v>
      </c>
      <c r="S128" s="48">
        <f t="shared" ref="S128:Y128" si="89">S129</f>
        <v>11561.200000000004</v>
      </c>
      <c r="T128" s="48">
        <f t="shared" si="89"/>
        <v>11441.200000000004</v>
      </c>
      <c r="U128" s="48">
        <f t="shared" si="89"/>
        <v>14199.846249999982</v>
      </c>
      <c r="V128" s="48">
        <f t="shared" si="89"/>
        <v>20506.342560000008</v>
      </c>
      <c r="W128" s="48">
        <f t="shared" si="89"/>
        <v>28304.998460000003</v>
      </c>
      <c r="X128" s="48">
        <f t="shared" si="89"/>
        <v>35230.366800000003</v>
      </c>
      <c r="Y128" s="54">
        <f t="shared" si="89"/>
        <v>40583.627209999984</v>
      </c>
      <c r="AA128" s="48">
        <f t="shared" ref="AA128:AG128" si="90">AA129</f>
        <v>3495.75</v>
      </c>
      <c r="AB128" s="48">
        <f t="shared" si="90"/>
        <v>3293.3577666666697</v>
      </c>
      <c r="AC128" s="48">
        <f t="shared" si="90"/>
        <v>4920.9804666666714</v>
      </c>
      <c r="AD128" s="48">
        <f t="shared" si="90"/>
        <v>7085.71896666666</v>
      </c>
      <c r="AE128" s="48">
        <f t="shared" si="90"/>
        <v>9868.4357666666692</v>
      </c>
      <c r="AF128" s="48">
        <f t="shared" si="90"/>
        <v>13360.558466666669</v>
      </c>
      <c r="AG128" s="54">
        <f t="shared" si="90"/>
        <v>16665.401466666655</v>
      </c>
    </row>
    <row r="129" spans="2:33" ht="20" customHeight="1" x14ac:dyDescent="0.2">
      <c r="B129" s="14" t="s">
        <v>117</v>
      </c>
      <c r="C129" s="48">
        <f>SUM(C130:C132)</f>
        <v>57401.80000000001</v>
      </c>
      <c r="D129" s="48">
        <f t="shared" ref="D129:I129" si="91">SUM(D130:D132)</f>
        <v>57951.349999999991</v>
      </c>
      <c r="E129" s="48">
        <f t="shared" si="91"/>
        <v>59176.023439999874</v>
      </c>
      <c r="F129" s="48">
        <f t="shared" si="91"/>
        <v>60438.460160000024</v>
      </c>
      <c r="G129" s="48">
        <f t="shared" si="91"/>
        <v>61588.883669999981</v>
      </c>
      <c r="H129" s="48">
        <f t="shared" si="91"/>
        <v>61671.250059999991</v>
      </c>
      <c r="I129" s="54">
        <f t="shared" si="91"/>
        <v>61910.438219999953</v>
      </c>
      <c r="K129" s="48">
        <f t="shared" ref="K129:Q129" si="92">SUM(K130:K132)</f>
        <v>37356.94999999999</v>
      </c>
      <c r="L129" s="48">
        <f t="shared" si="92"/>
        <v>37542.891051379323</v>
      </c>
      <c r="M129" s="48">
        <f t="shared" si="92"/>
        <v>41710.02899379313</v>
      </c>
      <c r="N129" s="48">
        <f t="shared" si="92"/>
        <v>45649.43566344821</v>
      </c>
      <c r="O129" s="48">
        <f t="shared" si="92"/>
        <v>48214.074502068965</v>
      </c>
      <c r="P129" s="48">
        <f t="shared" si="92"/>
        <v>50429.798036551714</v>
      </c>
      <c r="Q129" s="54">
        <f t="shared" si="92"/>
        <v>52529.104924482686</v>
      </c>
      <c r="S129" s="48">
        <f t="shared" ref="S129:Y129" si="93">SUM(S130:S132)</f>
        <v>11561.200000000004</v>
      </c>
      <c r="T129" s="48">
        <f t="shared" si="93"/>
        <v>11441.200000000004</v>
      </c>
      <c r="U129" s="48">
        <f t="shared" si="93"/>
        <v>14199.846249999982</v>
      </c>
      <c r="V129" s="48">
        <f t="shared" si="93"/>
        <v>20506.342560000008</v>
      </c>
      <c r="W129" s="48">
        <f t="shared" si="93"/>
        <v>28304.998460000003</v>
      </c>
      <c r="X129" s="48">
        <f t="shared" si="93"/>
        <v>35230.366800000003</v>
      </c>
      <c r="Y129" s="54">
        <f t="shared" si="93"/>
        <v>40583.627209999984</v>
      </c>
      <c r="AA129" s="48">
        <f t="shared" ref="AA129:AF129" si="94">SUM(AA130:AA132)</f>
        <v>3495.75</v>
      </c>
      <c r="AB129" s="48">
        <f t="shared" si="94"/>
        <v>3293.3577666666697</v>
      </c>
      <c r="AC129" s="48">
        <f t="shared" si="94"/>
        <v>4920.9804666666714</v>
      </c>
      <c r="AD129" s="48">
        <f t="shared" si="94"/>
        <v>7085.71896666666</v>
      </c>
      <c r="AE129" s="48">
        <f t="shared" si="94"/>
        <v>9868.4357666666692</v>
      </c>
      <c r="AF129" s="48">
        <f t="shared" si="94"/>
        <v>13360.558466666669</v>
      </c>
      <c r="AG129" s="54">
        <f>SUM(AG130:AG132)</f>
        <v>16665.401466666655</v>
      </c>
    </row>
    <row r="130" spans="2:33" ht="20" customHeight="1" x14ac:dyDescent="0.2">
      <c r="B130" s="15" t="s">
        <v>118</v>
      </c>
      <c r="C130" s="92">
        <v>30001</v>
      </c>
      <c r="D130" s="92">
        <v>30001</v>
      </c>
      <c r="E130" s="93">
        <v>30001</v>
      </c>
      <c r="F130" s="93">
        <v>30001</v>
      </c>
      <c r="G130" s="93">
        <v>30001</v>
      </c>
      <c r="H130" s="93">
        <v>30001</v>
      </c>
      <c r="I130" s="73">
        <v>30001</v>
      </c>
      <c r="K130" s="92">
        <v>20030</v>
      </c>
      <c r="L130" s="92">
        <v>20030.344827586207</v>
      </c>
      <c r="M130" s="93">
        <v>20030.344827586207</v>
      </c>
      <c r="N130" s="93">
        <v>20030.344827586207</v>
      </c>
      <c r="O130" s="93">
        <v>20030.344827586207</v>
      </c>
      <c r="P130" s="93">
        <v>20030.344827586207</v>
      </c>
      <c r="Q130" s="73">
        <v>20030.344827586207</v>
      </c>
      <c r="S130" s="92">
        <v>7001</v>
      </c>
      <c r="T130" s="92">
        <v>7001</v>
      </c>
      <c r="U130" s="93">
        <v>7001</v>
      </c>
      <c r="V130" s="93">
        <v>7001</v>
      </c>
      <c r="W130" s="93">
        <v>7001</v>
      </c>
      <c r="X130" s="93">
        <v>7001</v>
      </c>
      <c r="Y130" s="73">
        <v>7001</v>
      </c>
      <c r="AA130" s="92">
        <v>6</v>
      </c>
      <c r="AB130" s="92">
        <v>5.5555555555555554</v>
      </c>
      <c r="AC130" s="93">
        <v>5.5555555555555554</v>
      </c>
      <c r="AD130" s="93">
        <v>5.5555555555555554</v>
      </c>
      <c r="AE130" s="93">
        <v>5.5555555555555554</v>
      </c>
      <c r="AF130" s="93">
        <v>5.5555555555555554</v>
      </c>
      <c r="AG130" s="73">
        <v>5.5555555555555554</v>
      </c>
    </row>
    <row r="131" spans="2:33" ht="20" customHeight="1" x14ac:dyDescent="0.2">
      <c r="B131" s="15" t="s">
        <v>119</v>
      </c>
      <c r="C131" s="49">
        <v>19960</v>
      </c>
      <c r="D131" s="49">
        <v>19953</v>
      </c>
      <c r="E131" s="63">
        <v>19953</v>
      </c>
      <c r="F131" s="63">
        <v>19953</v>
      </c>
      <c r="G131" s="63">
        <v>19953</v>
      </c>
      <c r="H131" s="63">
        <v>19953</v>
      </c>
      <c r="I131" s="8">
        <v>19953</v>
      </c>
      <c r="K131" s="49">
        <v>1270</v>
      </c>
      <c r="L131" s="49">
        <v>1274.4827586206898</v>
      </c>
      <c r="M131" s="63">
        <v>1274.4827586206898</v>
      </c>
      <c r="N131" s="63">
        <v>1274.4827586206898</v>
      </c>
      <c r="O131" s="63">
        <v>1274.4827586206898</v>
      </c>
      <c r="P131" s="63">
        <v>1274.4827586206898</v>
      </c>
      <c r="Q131" s="8">
        <v>1274.4827586206898</v>
      </c>
      <c r="S131" s="49">
        <v>3500</v>
      </c>
      <c r="T131" s="49">
        <v>3500</v>
      </c>
      <c r="U131" s="63">
        <v>3500</v>
      </c>
      <c r="V131" s="63">
        <v>3500</v>
      </c>
      <c r="W131" s="63">
        <v>3500</v>
      </c>
      <c r="X131" s="63">
        <v>3500</v>
      </c>
      <c r="Y131" s="8">
        <v>3500</v>
      </c>
      <c r="AA131" s="49">
        <v>1200</v>
      </c>
      <c r="AB131" s="49">
        <v>1233.3333333333301</v>
      </c>
      <c r="AC131" s="63">
        <v>1233.3333333333301</v>
      </c>
      <c r="AD131" s="63">
        <v>1233.3333333333301</v>
      </c>
      <c r="AE131" s="63">
        <v>1233.3333333333301</v>
      </c>
      <c r="AF131" s="63">
        <v>1233.3333333333301</v>
      </c>
      <c r="AG131" s="8">
        <v>1233.3333333333301</v>
      </c>
    </row>
    <row r="132" spans="2:33" ht="20" customHeight="1" x14ac:dyDescent="0.2">
      <c r="B132" s="15" t="s">
        <v>120</v>
      </c>
      <c r="C132" s="134">
        <f t="shared" ref="C132:I132" si="95">SUM(C133:C134)</f>
        <v>7440.8000000000075</v>
      </c>
      <c r="D132" s="134">
        <f t="shared" si="95"/>
        <v>7997.3499999999885</v>
      </c>
      <c r="E132" s="134">
        <f t="shared" si="95"/>
        <v>9222.0234399998772</v>
      </c>
      <c r="F132" s="134">
        <f t="shared" si="95"/>
        <v>10484.460160000022</v>
      </c>
      <c r="G132" s="134">
        <f t="shared" si="95"/>
        <v>11634.883669999979</v>
      </c>
      <c r="H132" s="134">
        <f t="shared" si="95"/>
        <v>11717.250059999989</v>
      </c>
      <c r="I132" s="144">
        <f t="shared" si="95"/>
        <v>11956.438219999953</v>
      </c>
      <c r="K132" s="141">
        <f t="shared" ref="K132:Q132" si="96">SUM(K133:K134)</f>
        <v>16056.949999999992</v>
      </c>
      <c r="L132" s="134">
        <f t="shared" si="96"/>
        <v>16238.063465172432</v>
      </c>
      <c r="M132" s="134">
        <f t="shared" si="96"/>
        <v>20405.201407586235</v>
      </c>
      <c r="N132" s="134">
        <f t="shared" si="96"/>
        <v>24344.608077241319</v>
      </c>
      <c r="O132" s="134">
        <f t="shared" si="96"/>
        <v>26909.246915862073</v>
      </c>
      <c r="P132" s="134">
        <f t="shared" si="96"/>
        <v>29124.970450344816</v>
      </c>
      <c r="Q132" s="144">
        <f t="shared" si="96"/>
        <v>31224.277338275791</v>
      </c>
      <c r="S132" s="141">
        <f t="shared" ref="S132:Y132" si="97">SUM(S133:S134)</f>
        <v>1060.2000000000041</v>
      </c>
      <c r="T132" s="134">
        <f t="shared" si="97"/>
        <v>940.20000000000368</v>
      </c>
      <c r="U132" s="134">
        <f t="shared" si="97"/>
        <v>3698.8462499999828</v>
      </c>
      <c r="V132" s="134">
        <f t="shared" si="97"/>
        <v>10005.342560000008</v>
      </c>
      <c r="W132" s="134">
        <f t="shared" si="97"/>
        <v>17803.998460000003</v>
      </c>
      <c r="X132" s="134">
        <f t="shared" si="97"/>
        <v>24729.3668</v>
      </c>
      <c r="Y132" s="144">
        <f t="shared" si="97"/>
        <v>30082.627209999984</v>
      </c>
      <c r="AA132" s="141">
        <f t="shared" ref="AA132:AG132" si="98">SUM(AA133:AA134)</f>
        <v>2289.75</v>
      </c>
      <c r="AB132" s="134">
        <f t="shared" si="98"/>
        <v>2054.4688777777842</v>
      </c>
      <c r="AC132" s="134">
        <f t="shared" si="98"/>
        <v>3682.0915777777859</v>
      </c>
      <c r="AD132" s="134">
        <f t="shared" si="98"/>
        <v>5846.830077777774</v>
      </c>
      <c r="AE132" s="134">
        <f t="shared" si="98"/>
        <v>8629.5468777777842</v>
      </c>
      <c r="AF132" s="134">
        <f t="shared" si="98"/>
        <v>12121.669577777784</v>
      </c>
      <c r="AG132" s="144">
        <f t="shared" si="98"/>
        <v>15426.51257777777</v>
      </c>
    </row>
    <row r="133" spans="2:33" ht="20" customHeight="1" x14ac:dyDescent="0.2">
      <c r="B133" s="89" t="s">
        <v>121</v>
      </c>
      <c r="C133" s="90">
        <v>917</v>
      </c>
      <c r="D133" s="90">
        <v>917.16800000000001</v>
      </c>
      <c r="E133" s="90">
        <v>917.16800000000001</v>
      </c>
      <c r="F133" s="90">
        <v>917.16800000000001</v>
      </c>
      <c r="G133" s="90">
        <v>917.16800000000001</v>
      </c>
      <c r="H133" s="90">
        <v>917.16800000000001</v>
      </c>
      <c r="I133" s="94">
        <v>917.16800000000001</v>
      </c>
      <c r="K133" s="84">
        <v>562</v>
      </c>
      <c r="L133" s="84">
        <v>562.15746573082561</v>
      </c>
      <c r="M133" s="90">
        <v>562.15746573082561</v>
      </c>
      <c r="N133" s="90">
        <v>562.15746573082561</v>
      </c>
      <c r="O133" s="90">
        <v>562.15746573082561</v>
      </c>
      <c r="P133" s="90">
        <v>562.15746573082561</v>
      </c>
      <c r="Q133" s="94">
        <v>562.15746573082561</v>
      </c>
      <c r="S133" s="84">
        <v>12</v>
      </c>
      <c r="T133" s="84">
        <v>12</v>
      </c>
      <c r="U133" s="90">
        <v>12</v>
      </c>
      <c r="V133" s="90">
        <v>12</v>
      </c>
      <c r="W133" s="90">
        <v>12</v>
      </c>
      <c r="X133" s="90">
        <v>12</v>
      </c>
      <c r="Y133" s="94">
        <v>12</v>
      </c>
      <c r="AA133" s="84">
        <v>30</v>
      </c>
      <c r="AB133" s="84">
        <v>30.044842666666561</v>
      </c>
      <c r="AC133" s="90">
        <v>30.044842666666561</v>
      </c>
      <c r="AD133" s="90">
        <v>30.044842666666561</v>
      </c>
      <c r="AE133" s="90">
        <v>30.044842666666561</v>
      </c>
      <c r="AF133" s="90">
        <v>30.044842666666561</v>
      </c>
      <c r="AG133" s="94">
        <v>30.044842666666561</v>
      </c>
    </row>
    <row r="134" spans="2:33" s="146" customFormat="1" ht="20" customHeight="1" x14ac:dyDescent="0.2">
      <c r="B134" s="162" t="s">
        <v>122</v>
      </c>
      <c r="C134" s="139">
        <v>6523.8000000000075</v>
      </c>
      <c r="D134" s="139">
        <v>7080.1819999999889</v>
      </c>
      <c r="E134" s="139">
        <v>8304.8554399998775</v>
      </c>
      <c r="F134" s="139">
        <v>9567.2921600000227</v>
      </c>
      <c r="G134" s="139">
        <v>10717.71566999998</v>
      </c>
      <c r="H134" s="139">
        <v>10800.08205999999</v>
      </c>
      <c r="I134" s="140">
        <v>11039.270219999953</v>
      </c>
      <c r="K134" s="152">
        <v>15494.949999999992</v>
      </c>
      <c r="L134" s="139">
        <v>15675.905999441606</v>
      </c>
      <c r="M134" s="139">
        <v>19843.043941855409</v>
      </c>
      <c r="N134" s="139">
        <v>23782.450611510492</v>
      </c>
      <c r="O134" s="139">
        <v>26347.089450131247</v>
      </c>
      <c r="P134" s="139">
        <v>28562.812984613989</v>
      </c>
      <c r="Q134" s="140">
        <v>30662.119872544965</v>
      </c>
      <c r="S134" s="152">
        <v>1048.2000000000041</v>
      </c>
      <c r="T134" s="140">
        <v>928.20000000000368</v>
      </c>
      <c r="U134" s="140">
        <v>3686.8462499999828</v>
      </c>
      <c r="V134" s="140">
        <v>9993.3425600000082</v>
      </c>
      <c r="W134" s="140">
        <v>17791.998460000003</v>
      </c>
      <c r="X134" s="140">
        <v>24717.3668</v>
      </c>
      <c r="Y134" s="140">
        <v>30070.627209999984</v>
      </c>
      <c r="AA134" s="152">
        <v>2259.75</v>
      </c>
      <c r="AB134" s="140">
        <v>2024.4240351111175</v>
      </c>
      <c r="AC134" s="140">
        <v>3652.0467351111192</v>
      </c>
      <c r="AD134" s="140">
        <v>5816.7852351111078</v>
      </c>
      <c r="AE134" s="140">
        <v>8599.5020351111179</v>
      </c>
      <c r="AF134" s="140">
        <v>12091.624735111118</v>
      </c>
      <c r="AG134" s="140">
        <v>15396.467735111104</v>
      </c>
    </row>
    <row r="135" spans="2:33" ht="20" customHeight="1" x14ac:dyDescent="0.2">
      <c r="B135" s="13" t="s">
        <v>123</v>
      </c>
      <c r="C135" s="48">
        <f t="shared" ref="C135:L135" si="99">C136+C139</f>
        <v>9290</v>
      </c>
      <c r="D135" s="48">
        <f t="shared" si="99"/>
        <v>7031</v>
      </c>
      <c r="E135" s="48">
        <f t="shared" si="99"/>
        <v>5877</v>
      </c>
      <c r="F135" s="48">
        <f t="shared" si="99"/>
        <v>5877</v>
      </c>
      <c r="G135" s="48">
        <f t="shared" si="99"/>
        <v>5877</v>
      </c>
      <c r="H135" s="48">
        <f t="shared" si="99"/>
        <v>5877</v>
      </c>
      <c r="I135" s="54">
        <f t="shared" si="99"/>
        <v>5877</v>
      </c>
      <c r="K135" s="48">
        <f>K136+K139</f>
        <v>16220</v>
      </c>
      <c r="L135" s="48">
        <f t="shared" si="99"/>
        <v>16225.74995862069</v>
      </c>
      <c r="M135" s="48">
        <f>M136+M139</f>
        <v>16956.094786206901</v>
      </c>
      <c r="N135" s="48">
        <f>N136+N139</f>
        <v>17759.474096551727</v>
      </c>
      <c r="O135" s="48">
        <f>O136+O139</f>
        <v>18643.191337931035</v>
      </c>
      <c r="P135" s="48">
        <f>P136+P139</f>
        <v>19615.280303448279</v>
      </c>
      <c r="Q135" s="54">
        <f>Q136+Q139</f>
        <v>20684.578165517247</v>
      </c>
      <c r="S135" s="48">
        <f t="shared" ref="S135:Y135" si="100">S136+S139</f>
        <v>5350</v>
      </c>
      <c r="T135" s="48">
        <f t="shared" si="100"/>
        <v>4645</v>
      </c>
      <c r="U135" s="48">
        <f t="shared" si="100"/>
        <v>4644.5</v>
      </c>
      <c r="V135" s="48">
        <f t="shared" si="100"/>
        <v>6475.7000000000007</v>
      </c>
      <c r="W135" s="48">
        <f t="shared" si="100"/>
        <v>9000</v>
      </c>
      <c r="X135" s="48">
        <f t="shared" si="100"/>
        <v>11500</v>
      </c>
      <c r="Y135" s="54">
        <f t="shared" si="100"/>
        <v>13500</v>
      </c>
      <c r="AA135" s="48">
        <f t="shared" ref="AA135:AG135" si="101">AA136+AA139</f>
        <v>1500</v>
      </c>
      <c r="AB135" s="48">
        <f t="shared" si="101"/>
        <v>1339.81533333333</v>
      </c>
      <c r="AC135" s="48">
        <f t="shared" si="101"/>
        <v>2339.8153333333303</v>
      </c>
      <c r="AD135" s="48">
        <f t="shared" si="101"/>
        <v>3339.8153333333303</v>
      </c>
      <c r="AE135" s="48">
        <f t="shared" si="101"/>
        <v>4339.8153333333303</v>
      </c>
      <c r="AF135" s="48">
        <f t="shared" si="101"/>
        <v>5339.8153333333303</v>
      </c>
      <c r="AG135" s="54">
        <f t="shared" si="101"/>
        <v>6339.8153333333303</v>
      </c>
    </row>
    <row r="136" spans="2:33" ht="20" customHeight="1" x14ac:dyDescent="0.2">
      <c r="B136" s="14" t="s">
        <v>124</v>
      </c>
      <c r="C136" s="48">
        <f>SUM(C137:C138)</f>
        <v>1290</v>
      </c>
      <c r="D136" s="48">
        <f t="shared" ref="D136:L136" si="102">SUM(D137:D138)</f>
        <v>1290</v>
      </c>
      <c r="E136" s="48">
        <f t="shared" si="102"/>
        <v>136</v>
      </c>
      <c r="F136" s="48">
        <f t="shared" si="102"/>
        <v>136</v>
      </c>
      <c r="G136" s="48">
        <f t="shared" si="102"/>
        <v>136</v>
      </c>
      <c r="H136" s="48">
        <f t="shared" si="102"/>
        <v>136</v>
      </c>
      <c r="I136" s="54">
        <f t="shared" si="102"/>
        <v>136</v>
      </c>
      <c r="K136" s="48">
        <f>SUM(K137:K138)</f>
        <v>8500</v>
      </c>
      <c r="L136" s="48">
        <f t="shared" si="102"/>
        <v>8500</v>
      </c>
      <c r="M136" s="48">
        <f>SUM(M137:M138)</f>
        <v>8500</v>
      </c>
      <c r="N136" s="48">
        <f>SUM(N137:N138)</f>
        <v>8500</v>
      </c>
      <c r="O136" s="48">
        <f>SUM(O137:O138)</f>
        <v>8500</v>
      </c>
      <c r="P136" s="48">
        <f>SUM(P137:P138)</f>
        <v>8500</v>
      </c>
      <c r="Q136" s="54">
        <f>SUM(Q137:Q138)</f>
        <v>8500</v>
      </c>
      <c r="S136" s="48">
        <f t="shared" ref="S136:Y136" si="103">SUM(S137:S138)</f>
        <v>4100</v>
      </c>
      <c r="T136" s="48">
        <f t="shared" si="103"/>
        <v>4100</v>
      </c>
      <c r="U136" s="48">
        <f t="shared" si="103"/>
        <v>3500</v>
      </c>
      <c r="V136" s="48">
        <f t="shared" si="103"/>
        <v>3500</v>
      </c>
      <c r="W136" s="48">
        <f t="shared" si="103"/>
        <v>3500</v>
      </c>
      <c r="X136" s="48">
        <f t="shared" si="103"/>
        <v>3500</v>
      </c>
      <c r="Y136" s="54">
        <f t="shared" si="103"/>
        <v>3500</v>
      </c>
      <c r="AA136" s="48">
        <f t="shared" ref="AA136:AG136" si="104">SUM(AA137:AA138)</f>
        <v>0</v>
      </c>
      <c r="AB136" s="48">
        <f t="shared" si="104"/>
        <v>0</v>
      </c>
      <c r="AC136" s="48">
        <f t="shared" si="104"/>
        <v>0</v>
      </c>
      <c r="AD136" s="48">
        <f t="shared" si="104"/>
        <v>0</v>
      </c>
      <c r="AE136" s="48">
        <f t="shared" si="104"/>
        <v>0</v>
      </c>
      <c r="AF136" s="48">
        <f t="shared" si="104"/>
        <v>0</v>
      </c>
      <c r="AG136" s="54">
        <f t="shared" si="104"/>
        <v>0</v>
      </c>
    </row>
    <row r="137" spans="2:33" ht="20" customHeight="1" x14ac:dyDescent="0.2">
      <c r="B137" s="15" t="s">
        <v>125</v>
      </c>
      <c r="C137" s="92">
        <v>1154</v>
      </c>
      <c r="D137" s="92">
        <v>1154</v>
      </c>
      <c r="E137" s="93">
        <v>0</v>
      </c>
      <c r="F137" s="93">
        <v>0</v>
      </c>
      <c r="G137" s="93">
        <v>0</v>
      </c>
      <c r="H137" s="93">
        <v>0</v>
      </c>
      <c r="I137" s="73">
        <v>0</v>
      </c>
      <c r="K137" s="92">
        <v>0</v>
      </c>
      <c r="L137" s="92">
        <v>0</v>
      </c>
      <c r="M137" s="93">
        <v>0</v>
      </c>
      <c r="N137" s="93">
        <v>0</v>
      </c>
      <c r="O137" s="93">
        <v>0</v>
      </c>
      <c r="P137" s="93">
        <v>0</v>
      </c>
      <c r="Q137" s="73">
        <v>0</v>
      </c>
      <c r="S137" s="92">
        <v>600</v>
      </c>
      <c r="T137" s="92">
        <v>600</v>
      </c>
      <c r="U137" s="93">
        <v>0</v>
      </c>
      <c r="V137" s="93">
        <v>0</v>
      </c>
      <c r="W137" s="93">
        <v>0</v>
      </c>
      <c r="X137" s="93">
        <v>0</v>
      </c>
      <c r="Y137" s="73">
        <v>0</v>
      </c>
      <c r="AA137" s="92">
        <v>0</v>
      </c>
      <c r="AB137" s="92">
        <v>0</v>
      </c>
      <c r="AC137" s="93">
        <v>0</v>
      </c>
      <c r="AD137" s="93">
        <v>0</v>
      </c>
      <c r="AE137" s="93">
        <v>0</v>
      </c>
      <c r="AF137" s="93">
        <v>0</v>
      </c>
      <c r="AG137" s="73">
        <v>0</v>
      </c>
    </row>
    <row r="138" spans="2:33" ht="20" customHeight="1" x14ac:dyDescent="0.2">
      <c r="B138" s="15" t="s">
        <v>126</v>
      </c>
      <c r="C138" s="49">
        <v>136</v>
      </c>
      <c r="D138" s="49">
        <v>136</v>
      </c>
      <c r="E138" s="63">
        <v>136</v>
      </c>
      <c r="F138" s="63">
        <v>136</v>
      </c>
      <c r="G138" s="63">
        <v>136</v>
      </c>
      <c r="H138" s="63">
        <v>136</v>
      </c>
      <c r="I138" s="8">
        <v>136</v>
      </c>
      <c r="K138" s="49">
        <v>8500</v>
      </c>
      <c r="L138" s="49">
        <v>8500</v>
      </c>
      <c r="M138" s="63">
        <v>8500</v>
      </c>
      <c r="N138" s="63">
        <v>8500</v>
      </c>
      <c r="O138" s="63">
        <v>8500</v>
      </c>
      <c r="P138" s="63">
        <v>8500</v>
      </c>
      <c r="Q138" s="73">
        <v>8500</v>
      </c>
      <c r="S138" s="49">
        <v>3500</v>
      </c>
      <c r="T138" s="49">
        <v>3500</v>
      </c>
      <c r="U138" s="63">
        <v>3500</v>
      </c>
      <c r="V138" s="63">
        <v>3500</v>
      </c>
      <c r="W138" s="63">
        <v>3500</v>
      </c>
      <c r="X138" s="63">
        <v>3500</v>
      </c>
      <c r="Y138" s="8">
        <v>3500</v>
      </c>
      <c r="AA138" s="49">
        <v>0</v>
      </c>
      <c r="AB138" s="49">
        <v>0</v>
      </c>
      <c r="AC138" s="63">
        <v>0</v>
      </c>
      <c r="AD138" s="63">
        <v>0</v>
      </c>
      <c r="AE138" s="63">
        <v>0</v>
      </c>
      <c r="AF138" s="63">
        <v>0</v>
      </c>
      <c r="AG138" s="8">
        <v>0</v>
      </c>
    </row>
    <row r="139" spans="2:33" ht="20" customHeight="1" x14ac:dyDescent="0.2">
      <c r="B139" s="398" t="s">
        <v>127</v>
      </c>
      <c r="C139" s="428">
        <f t="shared" ref="C139:L139" si="105">SUM(C140:C141)</f>
        <v>8000</v>
      </c>
      <c r="D139" s="48">
        <f t="shared" si="105"/>
        <v>5741</v>
      </c>
      <c r="E139" s="48">
        <f t="shared" si="105"/>
        <v>5741</v>
      </c>
      <c r="F139" s="48">
        <f t="shared" si="105"/>
        <v>5741</v>
      </c>
      <c r="G139" s="48">
        <f t="shared" si="105"/>
        <v>5741</v>
      </c>
      <c r="H139" s="48">
        <f t="shared" si="105"/>
        <v>5741</v>
      </c>
      <c r="I139" s="54">
        <f t="shared" si="105"/>
        <v>5741</v>
      </c>
      <c r="K139" s="48">
        <f t="shared" si="105"/>
        <v>7720</v>
      </c>
      <c r="L139" s="48">
        <f t="shared" si="105"/>
        <v>7725.7499586206904</v>
      </c>
      <c r="M139" s="48">
        <f>SUM(M140:M141)</f>
        <v>8456.0947862068988</v>
      </c>
      <c r="N139" s="48">
        <f>SUM(N140:N141)</f>
        <v>9259.4740965517267</v>
      </c>
      <c r="O139" s="48">
        <f>SUM(O140:O141)</f>
        <v>10143.191337931037</v>
      </c>
      <c r="P139" s="48">
        <f>SUM(P140:P141)</f>
        <v>11115.28030344828</v>
      </c>
      <c r="Q139" s="54">
        <f>SUM(Q140:Q141)</f>
        <v>12184.578165517247</v>
      </c>
      <c r="S139" s="48">
        <f t="shared" ref="S139:Y139" si="106">SUM(S140:S141)</f>
        <v>1250</v>
      </c>
      <c r="T139" s="48">
        <f t="shared" si="106"/>
        <v>545</v>
      </c>
      <c r="U139" s="48">
        <f t="shared" si="106"/>
        <v>1144.5</v>
      </c>
      <c r="V139" s="48">
        <f t="shared" si="106"/>
        <v>2975.7000000000003</v>
      </c>
      <c r="W139" s="48">
        <f t="shared" si="106"/>
        <v>5500</v>
      </c>
      <c r="X139" s="48">
        <f t="shared" si="106"/>
        <v>8000</v>
      </c>
      <c r="Y139" s="54">
        <f t="shared" si="106"/>
        <v>10000</v>
      </c>
      <c r="AA139" s="48">
        <f t="shared" ref="AA139:AG139" si="107">SUM(AA140:AA141)</f>
        <v>1500</v>
      </c>
      <c r="AB139" s="48">
        <f t="shared" si="107"/>
        <v>1339.81533333333</v>
      </c>
      <c r="AC139" s="48">
        <f t="shared" si="107"/>
        <v>2339.8153333333303</v>
      </c>
      <c r="AD139" s="48">
        <f t="shared" si="107"/>
        <v>3339.8153333333303</v>
      </c>
      <c r="AE139" s="48">
        <f t="shared" si="107"/>
        <v>4339.8153333333303</v>
      </c>
      <c r="AF139" s="48">
        <f t="shared" si="107"/>
        <v>5339.8153333333303</v>
      </c>
      <c r="AG139" s="54">
        <f t="shared" si="107"/>
        <v>6339.8153333333303</v>
      </c>
    </row>
    <row r="140" spans="2:33" s="146" customFormat="1" ht="20" customHeight="1" x14ac:dyDescent="0.2">
      <c r="B140" s="161" t="s">
        <v>128</v>
      </c>
      <c r="C140" s="141">
        <v>4000</v>
      </c>
      <c r="D140" s="141">
        <v>3747</v>
      </c>
      <c r="E140" s="142">
        <v>3747</v>
      </c>
      <c r="F140" s="142">
        <v>3747</v>
      </c>
      <c r="G140" s="142">
        <v>3747</v>
      </c>
      <c r="H140" s="142">
        <v>3747</v>
      </c>
      <c r="I140" s="143">
        <v>3747</v>
      </c>
      <c r="K140" s="141">
        <v>420</v>
      </c>
      <c r="L140" s="141">
        <v>422.30168275862076</v>
      </c>
      <c r="M140" s="142">
        <v>422.30168275862076</v>
      </c>
      <c r="N140" s="142">
        <v>422.30168275862076</v>
      </c>
      <c r="O140" s="142">
        <v>422.30168275862076</v>
      </c>
      <c r="P140" s="142">
        <v>422.30168275862076</v>
      </c>
      <c r="Q140" s="143">
        <v>422.30168275862076</v>
      </c>
      <c r="S140" s="141">
        <v>0</v>
      </c>
      <c r="T140" s="141">
        <v>0</v>
      </c>
      <c r="U140" s="142">
        <v>0</v>
      </c>
      <c r="V140" s="142">
        <v>0</v>
      </c>
      <c r="W140" s="142">
        <v>0</v>
      </c>
      <c r="X140" s="142">
        <v>0</v>
      </c>
      <c r="Y140" s="143">
        <v>0</v>
      </c>
      <c r="AA140" s="141">
        <v>0</v>
      </c>
      <c r="AB140" s="141">
        <v>0</v>
      </c>
      <c r="AC140" s="142">
        <v>0</v>
      </c>
      <c r="AD140" s="142">
        <v>0</v>
      </c>
      <c r="AE140" s="142">
        <v>0</v>
      </c>
      <c r="AF140" s="142">
        <v>0</v>
      </c>
      <c r="AG140" s="143">
        <v>0</v>
      </c>
    </row>
    <row r="141" spans="2:33" ht="20" customHeight="1" x14ac:dyDescent="0.2">
      <c r="B141" s="27" t="s">
        <v>129</v>
      </c>
      <c r="C141" s="68">
        <v>4000</v>
      </c>
      <c r="D141" s="68">
        <v>1994</v>
      </c>
      <c r="E141" s="71">
        <v>1994</v>
      </c>
      <c r="F141" s="71">
        <v>1994</v>
      </c>
      <c r="G141" s="71">
        <v>1994</v>
      </c>
      <c r="H141" s="71">
        <v>1994</v>
      </c>
      <c r="I141" s="43">
        <v>1994</v>
      </c>
      <c r="K141" s="68">
        <v>7300</v>
      </c>
      <c r="L141" s="68">
        <v>7303.4482758620697</v>
      </c>
      <c r="M141" s="71">
        <v>8033.7931034482772</v>
      </c>
      <c r="N141" s="71">
        <v>8837.1724137931051</v>
      </c>
      <c r="O141" s="71">
        <v>9720.8896551724156</v>
      </c>
      <c r="P141" s="71">
        <v>10692.978620689659</v>
      </c>
      <c r="Q141" s="43">
        <v>11762.276482758625</v>
      </c>
      <c r="S141" s="68">
        <v>1250</v>
      </c>
      <c r="T141" s="68">
        <v>545</v>
      </c>
      <c r="U141" s="71">
        <v>1144.5</v>
      </c>
      <c r="V141" s="71">
        <v>2975.7000000000003</v>
      </c>
      <c r="W141" s="71">
        <v>5500</v>
      </c>
      <c r="X141" s="71">
        <v>8000</v>
      </c>
      <c r="Y141" s="43">
        <v>10000</v>
      </c>
      <c r="AA141" s="68">
        <v>1500</v>
      </c>
      <c r="AB141" s="68">
        <v>1339.81533333333</v>
      </c>
      <c r="AC141" s="71">
        <v>2339.8153333333303</v>
      </c>
      <c r="AD141" s="71">
        <v>3339.8153333333303</v>
      </c>
      <c r="AE141" s="71">
        <v>4339.8153333333303</v>
      </c>
      <c r="AF141" s="71">
        <v>5339.8153333333303</v>
      </c>
      <c r="AG141" s="43">
        <v>6339.8153333333303</v>
      </c>
    </row>
    <row r="142" spans="2:33" ht="20" customHeight="1" x14ac:dyDescent="0.2">
      <c r="B142"/>
      <c r="C142" s="9"/>
      <c r="D142" s="9"/>
      <c r="E142" s="9"/>
      <c r="F142" s="9"/>
      <c r="G142" s="9"/>
      <c r="H142" s="9"/>
      <c r="I142" s="9"/>
      <c r="K142" s="9"/>
      <c r="L142" s="9"/>
      <c r="M142" s="9"/>
      <c r="N142" s="9"/>
      <c r="O142" s="9"/>
      <c r="P142" s="9"/>
      <c r="Q142" s="9"/>
      <c r="S142" s="9"/>
      <c r="T142" s="9"/>
      <c r="U142" s="9"/>
      <c r="V142" s="9"/>
      <c r="W142" s="9"/>
      <c r="X142" s="9"/>
      <c r="Y142" s="9"/>
      <c r="AA142" s="9"/>
      <c r="AB142" s="9"/>
      <c r="AC142" s="9"/>
      <c r="AD142" s="9"/>
      <c r="AE142" s="9"/>
      <c r="AF142" s="9"/>
      <c r="AG142" s="9"/>
    </row>
    <row r="143" spans="2:33" ht="20" customHeight="1" x14ac:dyDescent="0.2">
      <c r="B143" s="29"/>
      <c r="C143" s="9"/>
      <c r="D143" s="9"/>
      <c r="E143" s="9"/>
      <c r="K143" s="9"/>
      <c r="L143" s="9"/>
      <c r="M143" s="9"/>
      <c r="N143" s="9"/>
      <c r="O143" s="9"/>
      <c r="P143" s="9"/>
      <c r="Q143" s="9"/>
      <c r="S143" s="9"/>
      <c r="T143" s="9"/>
      <c r="U143" s="9"/>
      <c r="V143" s="9"/>
      <c r="W143" s="9"/>
      <c r="X143" s="9"/>
      <c r="Y143" s="9"/>
      <c r="AA143" s="9"/>
      <c r="AB143" s="9"/>
      <c r="AC143" s="9"/>
      <c r="AD143" s="9"/>
      <c r="AE143" s="9"/>
      <c r="AF143" s="9"/>
      <c r="AG143" s="9"/>
    </row>
    <row r="144" spans="2:33" s="146" customFormat="1" ht="20" customHeight="1" x14ac:dyDescent="0.2">
      <c r="B144" s="160" t="s">
        <v>130</v>
      </c>
      <c r="C144" s="147">
        <v>7000</v>
      </c>
      <c r="D144" s="145">
        <v>10000</v>
      </c>
      <c r="E144" s="145">
        <v>16000</v>
      </c>
      <c r="F144" s="145">
        <v>20000</v>
      </c>
      <c r="G144" s="145">
        <v>25000</v>
      </c>
      <c r="H144" s="145">
        <v>32000</v>
      </c>
      <c r="I144" s="145">
        <v>39000</v>
      </c>
      <c r="K144" s="145">
        <v>0</v>
      </c>
      <c r="L144" s="145">
        <v>0</v>
      </c>
      <c r="M144" s="145">
        <v>6000</v>
      </c>
      <c r="N144" s="145">
        <v>10000</v>
      </c>
      <c r="O144" s="145">
        <v>16000</v>
      </c>
      <c r="P144" s="145">
        <v>22000</v>
      </c>
      <c r="Q144" s="145">
        <v>29000</v>
      </c>
      <c r="S144" s="145">
        <v>0</v>
      </c>
      <c r="T144" s="145">
        <v>0</v>
      </c>
      <c r="U144" s="145">
        <v>0</v>
      </c>
      <c r="V144" s="145">
        <v>0</v>
      </c>
      <c r="W144" s="145">
        <v>4000</v>
      </c>
      <c r="X144" s="145">
        <v>14000</v>
      </c>
      <c r="Y144" s="145">
        <v>29000</v>
      </c>
      <c r="AA144" s="145">
        <v>0</v>
      </c>
      <c r="AB144" s="145">
        <v>0</v>
      </c>
      <c r="AC144" s="145">
        <v>0</v>
      </c>
      <c r="AD144" s="145">
        <v>0</v>
      </c>
      <c r="AE144" s="145">
        <v>0</v>
      </c>
      <c r="AF144" s="145">
        <v>0</v>
      </c>
      <c r="AG144" s="145">
        <v>1000</v>
      </c>
    </row>
    <row r="145" spans="2:33" ht="20" customHeight="1" x14ac:dyDescent="0.2">
      <c r="B145" s="29"/>
      <c r="C145" s="9"/>
      <c r="D145" s="9"/>
      <c r="E145" s="9"/>
      <c r="F145" s="9"/>
      <c r="G145" s="9"/>
      <c r="H145" s="9"/>
      <c r="I145" s="9"/>
      <c r="K145" s="9"/>
      <c r="L145" s="9"/>
      <c r="M145" s="9"/>
      <c r="N145" s="9"/>
      <c r="O145" s="9"/>
      <c r="P145" s="9"/>
      <c r="Q145" s="9"/>
      <c r="S145" s="9"/>
      <c r="T145" s="9"/>
      <c r="U145" s="9"/>
      <c r="V145" s="9"/>
      <c r="W145" s="9"/>
      <c r="X145" s="9"/>
      <c r="Y145" s="9"/>
      <c r="AA145" s="9"/>
      <c r="AB145" s="9"/>
      <c r="AC145" s="9"/>
      <c r="AD145" s="9"/>
      <c r="AE145" s="9"/>
      <c r="AF145" s="9"/>
      <c r="AG145" s="9"/>
    </row>
    <row r="146" spans="2:33" ht="20" customHeight="1" x14ac:dyDescent="0.2">
      <c r="B146" s="29" t="s">
        <v>131</v>
      </c>
    </row>
    <row r="147" spans="2:33" ht="20" customHeight="1" x14ac:dyDescent="0.2"/>
    <row r="148" spans="2:33" ht="20" customHeight="1" x14ac:dyDescent="0.2"/>
    <row r="149" spans="2:33" ht="20" customHeight="1" x14ac:dyDescent="0.2"/>
    <row r="150" spans="2:33" ht="20" customHeight="1" x14ac:dyDescent="0.2"/>
    <row r="151" spans="2:33" ht="20" customHeight="1" x14ac:dyDescent="0.2"/>
    <row r="152" spans="2:33" ht="20" customHeight="1" x14ac:dyDescent="0.2"/>
    <row r="153" spans="2:33" ht="20" customHeight="1" x14ac:dyDescent="0.2"/>
    <row r="154" spans="2:33" ht="20" customHeight="1" x14ac:dyDescent="0.2"/>
    <row r="155" spans="2:33" ht="20" customHeight="1" x14ac:dyDescent="0.2"/>
    <row r="156" spans="2:33" ht="20" customHeight="1" x14ac:dyDescent="0.2"/>
    <row r="157" spans="2:33" ht="20" customHeight="1" x14ac:dyDescent="0.2"/>
    <row r="158" spans="2:33" ht="20" customHeight="1" x14ac:dyDescent="0.2"/>
    <row r="159" spans="2:33" ht="20" customHeight="1" x14ac:dyDescent="0.2"/>
  </sheetData>
  <mergeCells count="16">
    <mergeCell ref="C111:I111"/>
    <mergeCell ref="K111:Q111"/>
    <mergeCell ref="S111:Y111"/>
    <mergeCell ref="AA111:AG111"/>
    <mergeCell ref="C73:I73"/>
    <mergeCell ref="K73:Q73"/>
    <mergeCell ref="S73:Y73"/>
    <mergeCell ref="AA73:AG73"/>
    <mergeCell ref="C40:I40"/>
    <mergeCell ref="K40:Q40"/>
    <mergeCell ref="S40:Y40"/>
    <mergeCell ref="AA40:AG40"/>
    <mergeCell ref="C3:I3"/>
    <mergeCell ref="K3:Q3"/>
    <mergeCell ref="S3:Y3"/>
    <mergeCell ref="AA3:AG3"/>
  </mergeCells>
  <conditionalFormatting sqref="E68">
    <cfRule type="cellIs" dxfId="19" priority="27" operator="notBetween">
      <formula>17224</formula>
      <formula>17225</formula>
    </cfRule>
    <cfRule type="cellIs" dxfId="18" priority="28" operator="between">
      <formula>17224</formula>
      <formula>17225</formula>
    </cfRule>
  </conditionalFormatting>
  <conditionalFormatting sqref="E107">
    <cfRule type="cellIs" dxfId="17" priority="17" operator="notBetween">
      <formula>10673</formula>
      <formula>10674</formula>
    </cfRule>
    <cfRule type="cellIs" dxfId="16" priority="18" operator="between">
      <formula>10673</formula>
      <formula>10674</formula>
    </cfRule>
  </conditionalFormatting>
  <conditionalFormatting sqref="F68">
    <cfRule type="cellIs" dxfId="15" priority="7" operator="notBetween">
      <formula>21262</formula>
      <formula>21263</formula>
    </cfRule>
    <cfRule type="cellIs" dxfId="14" priority="8" operator="between">
      <formula>21262</formula>
      <formula>21263</formula>
    </cfRule>
  </conditionalFormatting>
  <conditionalFormatting sqref="F107">
    <cfRule type="cellIs" dxfId="13" priority="15" operator="notBetween">
      <formula>13253</formula>
      <formula>13254</formula>
    </cfRule>
    <cfRule type="cellIs" dxfId="12" priority="16" operator="between">
      <formula>13253</formula>
      <formula>13254</formula>
    </cfRule>
  </conditionalFormatting>
  <conditionalFormatting sqref="G68">
    <cfRule type="cellIs" dxfId="11" priority="5" operator="notBetween">
      <formula>26150</formula>
      <formula>26151</formula>
    </cfRule>
    <cfRule type="cellIs" dxfId="10" priority="6" operator="between">
      <formula>26150</formula>
      <formula>26151</formula>
    </cfRule>
  </conditionalFormatting>
  <conditionalFormatting sqref="G107">
    <cfRule type="cellIs" dxfId="9" priority="13" operator="notBetween">
      <formula>15782</formula>
      <formula>15783</formula>
    </cfRule>
    <cfRule type="cellIs" dxfId="8" priority="14" operator="between">
      <formula>15782</formula>
      <formula>15783</formula>
    </cfRule>
  </conditionalFormatting>
  <conditionalFormatting sqref="H68">
    <cfRule type="cellIs" dxfId="7" priority="3" operator="notBetween">
      <formula>32082</formula>
      <formula>32083</formula>
    </cfRule>
    <cfRule type="cellIs" dxfId="6" priority="4" operator="between">
      <formula>32082</formula>
      <formula>32083</formula>
    </cfRule>
  </conditionalFormatting>
  <conditionalFormatting sqref="H107">
    <cfRule type="cellIs" dxfId="5" priority="11" operator="notBetween">
      <formula>17305</formula>
      <formula>17306</formula>
    </cfRule>
    <cfRule type="cellIs" dxfId="4" priority="12" operator="between">
      <formula>17305</formula>
      <formula>17306</formula>
    </cfRule>
  </conditionalFormatting>
  <conditionalFormatting sqref="I68">
    <cfRule type="cellIs" dxfId="3" priority="1" operator="notBetween">
      <formula>39239</formula>
      <formula>39240</formula>
    </cfRule>
    <cfRule type="cellIs" dxfId="2" priority="2" operator="between">
      <formula>39239</formula>
      <formula>39240</formula>
    </cfRule>
  </conditionalFormatting>
  <conditionalFormatting sqref="I107">
    <cfRule type="cellIs" dxfId="1" priority="9" operator="notBetween">
      <formula>19053</formula>
      <formula>19054</formula>
    </cfRule>
    <cfRule type="cellIs" dxfId="0" priority="10" operator="between">
      <formula>19053</formula>
      <formula>19054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DF13-D114-3B4F-B6B8-06E5C66E2E32}">
  <dimension ref="A1:P1"/>
  <sheetViews>
    <sheetView zoomScaleNormal="100" workbookViewId="0">
      <selection activeCell="F12" sqref="F12"/>
    </sheetView>
  </sheetViews>
  <sheetFormatPr baseColWidth="10" defaultColWidth="9.1640625" defaultRowHeight="16" x14ac:dyDescent="0.2"/>
  <cols>
    <col min="1" max="1" width="9.1640625" style="167"/>
    <col min="2" max="8" width="9.1640625" style="166"/>
    <col min="9" max="16" width="9.1640625" style="167"/>
    <col min="17" max="16384" width="9.1640625" style="166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8B8D-64F4-3042-B965-CFE26CD6C94D}">
  <dimension ref="A1:BZ42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9" sqref="C19"/>
    </sheetView>
  </sheetViews>
  <sheetFormatPr baseColWidth="10" defaultColWidth="10.83203125" defaultRowHeight="16" x14ac:dyDescent="0.2"/>
  <cols>
    <col min="1" max="1" width="66.5" style="196" customWidth="1"/>
    <col min="2" max="16384" width="10.83203125" style="196"/>
  </cols>
  <sheetData>
    <row r="1" spans="1:78" ht="17" thickBot="1" x14ac:dyDescent="0.25">
      <c r="A1" s="195" t="s">
        <v>67</v>
      </c>
      <c r="B1" s="410" t="s">
        <v>132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  <c r="U1" s="411"/>
      <c r="V1" s="411"/>
      <c r="W1" s="411"/>
      <c r="X1" s="411"/>
      <c r="Y1" s="411"/>
      <c r="Z1" s="411"/>
      <c r="AA1" s="411"/>
      <c r="AB1" s="411"/>
      <c r="AC1" s="411"/>
      <c r="AD1" s="411"/>
      <c r="AE1" s="411"/>
      <c r="AF1" s="411"/>
      <c r="AG1" s="411"/>
      <c r="AH1" s="411"/>
      <c r="AI1" s="411"/>
      <c r="AJ1" s="411"/>
      <c r="AK1" s="411"/>
      <c r="AL1" s="411"/>
      <c r="AM1" s="411"/>
      <c r="AN1" s="411"/>
      <c r="AO1" s="411"/>
      <c r="AP1" s="411"/>
      <c r="AQ1" s="411"/>
      <c r="AR1" s="411"/>
      <c r="AS1" s="411"/>
      <c r="AT1" s="411"/>
      <c r="AU1" s="169"/>
      <c r="AV1" s="409" t="s">
        <v>1</v>
      </c>
      <c r="AW1" s="409"/>
      <c r="AX1" s="409"/>
      <c r="AY1" s="409"/>
      <c r="AZ1" s="409"/>
      <c r="BA1" s="409"/>
      <c r="BB1" s="409"/>
      <c r="BC1" s="4"/>
      <c r="BD1" s="409" t="s">
        <v>2</v>
      </c>
      <c r="BE1" s="409"/>
      <c r="BF1" s="409"/>
      <c r="BG1" s="409"/>
      <c r="BH1" s="409"/>
      <c r="BI1" s="409"/>
      <c r="BJ1" s="409"/>
      <c r="BK1" s="4"/>
      <c r="BL1" s="409" t="s">
        <v>3</v>
      </c>
      <c r="BM1" s="409"/>
      <c r="BN1" s="409"/>
      <c r="BO1" s="409"/>
      <c r="BP1" s="409"/>
      <c r="BQ1" s="409"/>
      <c r="BR1" s="409"/>
      <c r="BS1" s="4"/>
      <c r="BT1" s="409" t="s">
        <v>4</v>
      </c>
      <c r="BU1" s="409"/>
      <c r="BV1" s="409"/>
      <c r="BW1" s="409"/>
      <c r="BX1" s="409"/>
      <c r="BY1" s="409"/>
      <c r="BZ1" s="409"/>
    </row>
    <row r="2" spans="1:78" ht="68" x14ac:dyDescent="0.2">
      <c r="A2" s="405"/>
      <c r="B2" s="407" t="s">
        <v>26</v>
      </c>
      <c r="C2" s="172" t="s">
        <v>133</v>
      </c>
      <c r="D2" s="172" t="s">
        <v>134</v>
      </c>
      <c r="E2" s="172" t="s">
        <v>135</v>
      </c>
      <c r="F2" s="172" t="s">
        <v>136</v>
      </c>
      <c r="G2" s="172" t="s">
        <v>137</v>
      </c>
      <c r="H2" s="172" t="s">
        <v>138</v>
      </c>
      <c r="I2" s="407" t="s">
        <v>5</v>
      </c>
      <c r="J2" s="172" t="s">
        <v>133</v>
      </c>
      <c r="K2" s="172" t="s">
        <v>134</v>
      </c>
      <c r="L2" s="172" t="s">
        <v>135</v>
      </c>
      <c r="M2" s="172" t="s">
        <v>136</v>
      </c>
      <c r="N2" s="172" t="s">
        <v>137</v>
      </c>
      <c r="O2" s="172" t="s">
        <v>138</v>
      </c>
      <c r="P2" s="407">
        <v>2026</v>
      </c>
      <c r="Q2" s="172" t="s">
        <v>133</v>
      </c>
      <c r="R2" s="172" t="s">
        <v>134</v>
      </c>
      <c r="S2" s="172" t="s">
        <v>135</v>
      </c>
      <c r="T2" s="172" t="s">
        <v>136</v>
      </c>
      <c r="U2" s="172" t="s">
        <v>137</v>
      </c>
      <c r="V2" s="172" t="s">
        <v>138</v>
      </c>
      <c r="W2" s="407">
        <v>2027</v>
      </c>
      <c r="X2" s="172" t="s">
        <v>133</v>
      </c>
      <c r="Y2" s="172" t="s">
        <v>134</v>
      </c>
      <c r="Z2" s="172" t="s">
        <v>135</v>
      </c>
      <c r="AA2" s="172" t="s">
        <v>136</v>
      </c>
      <c r="AB2" s="172" t="s">
        <v>137</v>
      </c>
      <c r="AC2" s="407">
        <v>2028</v>
      </c>
      <c r="AD2" s="172" t="s">
        <v>133</v>
      </c>
      <c r="AE2" s="172" t="s">
        <v>134</v>
      </c>
      <c r="AF2" s="172" t="s">
        <v>135</v>
      </c>
      <c r="AG2" s="172" t="s">
        <v>136</v>
      </c>
      <c r="AH2" s="172" t="s">
        <v>137</v>
      </c>
      <c r="AI2" s="407">
        <v>2029</v>
      </c>
      <c r="AJ2" s="172" t="s">
        <v>133</v>
      </c>
      <c r="AK2" s="172" t="s">
        <v>134</v>
      </c>
      <c r="AL2" s="172" t="s">
        <v>135</v>
      </c>
      <c r="AM2" s="172" t="s">
        <v>136</v>
      </c>
      <c r="AN2" s="172" t="s">
        <v>137</v>
      </c>
      <c r="AO2" s="407">
        <v>2030</v>
      </c>
      <c r="AP2" s="172" t="s">
        <v>133</v>
      </c>
      <c r="AQ2" s="172" t="s">
        <v>134</v>
      </c>
      <c r="AR2" s="172" t="s">
        <v>135</v>
      </c>
      <c r="AS2" s="172" t="s">
        <v>136</v>
      </c>
      <c r="AT2" s="172" t="s">
        <v>137</v>
      </c>
      <c r="AU2" s="169"/>
      <c r="AV2" s="41" t="s">
        <v>26</v>
      </c>
      <c r="AW2" s="41" t="s">
        <v>5</v>
      </c>
      <c r="AX2" s="97">
        <v>2026</v>
      </c>
      <c r="AY2" s="97">
        <v>2027</v>
      </c>
      <c r="AZ2" s="97">
        <v>2028</v>
      </c>
      <c r="BA2" s="97">
        <v>2029</v>
      </c>
      <c r="BB2" s="97">
        <v>2030</v>
      </c>
      <c r="BC2" s="4"/>
      <c r="BD2" s="41" t="s">
        <v>26</v>
      </c>
      <c r="BE2" s="41" t="s">
        <v>5</v>
      </c>
      <c r="BF2" s="97">
        <v>2026</v>
      </c>
      <c r="BG2" s="97">
        <v>2027</v>
      </c>
      <c r="BH2" s="97">
        <v>2028</v>
      </c>
      <c r="BI2" s="97">
        <v>2029</v>
      </c>
      <c r="BJ2" s="97">
        <v>2030</v>
      </c>
      <c r="BK2" s="4"/>
      <c r="BL2" s="41" t="s">
        <v>26</v>
      </c>
      <c r="BM2" s="41" t="s">
        <v>5</v>
      </c>
      <c r="BN2" s="97">
        <v>2026</v>
      </c>
      <c r="BO2" s="97">
        <v>2027</v>
      </c>
      <c r="BP2" s="97">
        <v>2028</v>
      </c>
      <c r="BQ2" s="97">
        <v>2029</v>
      </c>
      <c r="BR2" s="97">
        <v>2030</v>
      </c>
      <c r="BS2" s="4"/>
      <c r="BT2" s="41" t="s">
        <v>26</v>
      </c>
      <c r="BU2" s="41" t="s">
        <v>5</v>
      </c>
      <c r="BV2" s="97">
        <v>2026</v>
      </c>
      <c r="BW2" s="97">
        <v>2027</v>
      </c>
      <c r="BX2" s="97">
        <v>2028</v>
      </c>
      <c r="BY2" s="97">
        <v>2029</v>
      </c>
      <c r="BZ2" s="97">
        <v>2030</v>
      </c>
    </row>
    <row r="3" spans="1:78" x14ac:dyDescent="0.2">
      <c r="A3" s="197" t="s">
        <v>68</v>
      </c>
      <c r="B3" s="175">
        <f>(AV3+BD3+BL3)</f>
        <v>1073.3999999999978</v>
      </c>
      <c r="C3" s="169"/>
      <c r="D3" s="169"/>
      <c r="E3" s="169"/>
      <c r="F3" s="169"/>
      <c r="G3" s="169"/>
      <c r="H3" s="169"/>
      <c r="I3" s="228">
        <f>(AW3+BE3+BM3)</f>
        <v>1122.4890740825708</v>
      </c>
      <c r="J3" s="177"/>
      <c r="K3" s="177"/>
      <c r="L3" s="177"/>
      <c r="M3" s="177"/>
      <c r="N3" s="177"/>
      <c r="O3" s="177"/>
      <c r="P3" s="175">
        <f>(AX3+BF3+BN3)</f>
        <v>22519.308456148719</v>
      </c>
      <c r="Q3" s="177"/>
      <c r="R3" s="169"/>
      <c r="S3" s="169"/>
      <c r="T3" s="169"/>
      <c r="U3" s="169"/>
      <c r="V3" s="169"/>
      <c r="W3" s="228">
        <f>(AY3+BG3+BO3)</f>
        <v>35338.169590681791</v>
      </c>
      <c r="X3" s="169"/>
      <c r="Y3" s="169"/>
      <c r="Z3" s="169"/>
      <c r="AA3" s="169"/>
      <c r="AB3" s="169"/>
      <c r="AC3" s="228">
        <f>(AZ3+BH3+BP3)</f>
        <v>54214.768613395565</v>
      </c>
      <c r="AD3" s="169"/>
      <c r="AE3" s="169"/>
      <c r="AF3" s="169"/>
      <c r="AG3" s="169"/>
      <c r="AH3" s="169"/>
      <c r="AI3" s="228">
        <f>BA3+BI3+BQ3</f>
        <v>74124.686917211948</v>
      </c>
      <c r="AJ3" s="169"/>
      <c r="AK3" s="169"/>
      <c r="AL3" s="169"/>
      <c r="AM3" s="169"/>
      <c r="AN3" s="169"/>
      <c r="AO3" s="228">
        <f>BB3+BJ3+BR3</f>
        <v>92077.029251849395</v>
      </c>
      <c r="AP3" s="169"/>
      <c r="AQ3" s="169"/>
      <c r="AR3" s="169"/>
      <c r="AS3" s="169"/>
      <c r="AT3" s="169"/>
      <c r="AU3" s="169"/>
      <c r="AV3" s="48">
        <v>9</v>
      </c>
      <c r="AW3" s="48">
        <v>662.6</v>
      </c>
      <c r="AX3" s="62">
        <v>8742.3499970000084</v>
      </c>
      <c r="AY3" s="62">
        <v>10673.443439045546</v>
      </c>
      <c r="AZ3" s="62">
        <v>13253.575554402214</v>
      </c>
      <c r="BA3" s="62">
        <v>15782.006008029388</v>
      </c>
      <c r="BB3" s="62">
        <v>17305.873641520269</v>
      </c>
      <c r="BC3" s="4"/>
      <c r="BD3" s="48">
        <v>791.19999999999709</v>
      </c>
      <c r="BE3" s="48">
        <v>419.68907408257002</v>
      </c>
      <c r="BF3" s="62">
        <f>BE35</f>
        <v>12536.75845914871</v>
      </c>
      <c r="BG3" s="62">
        <f>BF35</f>
        <v>20000.69990163625</v>
      </c>
      <c r="BH3" s="62">
        <f>BG35</f>
        <v>27453.84969699334</v>
      </c>
      <c r="BI3" s="62">
        <f>BH35</f>
        <v>33764.423599182555</v>
      </c>
      <c r="BJ3" s="7">
        <f>BI35</f>
        <v>39974.694431609125</v>
      </c>
      <c r="BK3" s="4"/>
      <c r="BL3" s="48">
        <v>273.20000000000073</v>
      </c>
      <c r="BM3" s="48">
        <v>40.200000000000728</v>
      </c>
      <c r="BN3" s="62">
        <f>BM35</f>
        <v>1240.2000000000007</v>
      </c>
      <c r="BO3" s="62">
        <f>BN35</f>
        <v>4664.0262499999972</v>
      </c>
      <c r="BP3" s="62">
        <f>BO35</f>
        <v>13507.343362000005</v>
      </c>
      <c r="BQ3" s="62">
        <f>BP35</f>
        <v>24578.257310000001</v>
      </c>
      <c r="BR3" s="7">
        <f>BQ35</f>
        <v>34796.461178720005</v>
      </c>
      <c r="BS3" s="4"/>
      <c r="BT3" s="48">
        <v>144</v>
      </c>
      <c r="BU3" s="48">
        <v>444.03722222222245</v>
      </c>
      <c r="BV3" s="62">
        <f>BU35</f>
        <v>2946.3508855333284</v>
      </c>
      <c r="BW3" s="62">
        <f>BV35</f>
        <v>5721.2682266222173</v>
      </c>
      <c r="BX3" s="62">
        <f>BW35</f>
        <v>9039.1931520561066</v>
      </c>
      <c r="BY3" s="62">
        <f>BX35</f>
        <v>12981.223728780662</v>
      </c>
      <c r="BZ3" s="7">
        <f>BY35</f>
        <v>17639.032895798544</v>
      </c>
    </row>
    <row r="4" spans="1:78" x14ac:dyDescent="0.2">
      <c r="A4" s="198"/>
      <c r="B4" s="177"/>
      <c r="C4" s="169"/>
      <c r="D4" s="169"/>
      <c r="E4" s="169"/>
      <c r="F4" s="169"/>
      <c r="G4" s="169"/>
      <c r="H4" s="169"/>
      <c r="I4" s="169"/>
      <c r="J4" s="177"/>
      <c r="K4" s="177"/>
      <c r="L4" s="177"/>
      <c r="M4" s="177"/>
      <c r="N4" s="177"/>
      <c r="O4" s="177"/>
      <c r="P4" s="177"/>
      <c r="Q4" s="177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6"/>
      <c r="AW4" s="6"/>
      <c r="AX4" s="6"/>
      <c r="AY4" s="6"/>
      <c r="AZ4" s="6"/>
      <c r="BA4" s="6"/>
      <c r="BB4" s="6"/>
      <c r="BC4" s="4"/>
      <c r="BD4" s="6"/>
      <c r="BE4" s="6"/>
      <c r="BF4" s="6"/>
      <c r="BG4" s="6"/>
      <c r="BH4" s="6"/>
      <c r="BI4" s="6"/>
      <c r="BJ4" s="6"/>
      <c r="BK4" s="4"/>
      <c r="BL4" s="6"/>
      <c r="BM4" s="6"/>
      <c r="BN4" s="6"/>
      <c r="BO4" s="6"/>
      <c r="BP4" s="6"/>
      <c r="BQ4" s="6"/>
      <c r="BR4" s="6"/>
      <c r="BS4" s="4"/>
      <c r="BT4" s="6"/>
      <c r="BU4" s="6"/>
      <c r="BV4" s="6"/>
      <c r="BW4" s="6"/>
      <c r="BX4" s="6"/>
      <c r="BY4" s="6"/>
      <c r="BZ4" s="6"/>
    </row>
    <row r="5" spans="1:78" x14ac:dyDescent="0.2">
      <c r="A5" s="198" t="s">
        <v>69</v>
      </c>
      <c r="B5" s="177"/>
      <c r="C5" s="169"/>
      <c r="D5" s="169"/>
      <c r="E5" s="169"/>
      <c r="F5" s="169"/>
      <c r="G5" s="169"/>
      <c r="H5" s="169"/>
      <c r="I5" s="169"/>
      <c r="J5" s="177"/>
      <c r="K5" s="177"/>
      <c r="L5" s="177"/>
      <c r="M5" s="177"/>
      <c r="N5" s="177"/>
      <c r="O5" s="177"/>
      <c r="P5" s="177"/>
      <c r="Q5" s="177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6"/>
      <c r="AW5" s="6"/>
      <c r="AX5" s="6"/>
      <c r="AY5" s="6"/>
      <c r="AZ5" s="6"/>
      <c r="BA5" s="6"/>
      <c r="BB5" s="6"/>
      <c r="BC5" s="4"/>
      <c r="BD5" s="6"/>
      <c r="BE5" s="6"/>
      <c r="BF5" s="6"/>
      <c r="BG5" s="6"/>
      <c r="BH5" s="6"/>
      <c r="BI5" s="6"/>
      <c r="BJ5" s="6"/>
      <c r="BK5" s="4"/>
      <c r="BL5" s="6"/>
      <c r="BM5" s="6"/>
      <c r="BN5" s="6"/>
      <c r="BO5" s="6"/>
      <c r="BP5" s="6"/>
      <c r="BQ5" s="6"/>
      <c r="BR5" s="6"/>
      <c r="BS5" s="4"/>
      <c r="BT5" s="6"/>
      <c r="BU5" s="6"/>
      <c r="BV5" s="6"/>
      <c r="BW5" s="6"/>
      <c r="BX5" s="6"/>
      <c r="BY5" s="6"/>
      <c r="BZ5" s="6"/>
    </row>
    <row r="6" spans="1:78" x14ac:dyDescent="0.2">
      <c r="A6" s="197" t="s">
        <v>70</v>
      </c>
      <c r="B6" s="175">
        <f>SUM(B7:B12)</f>
        <v>128086</v>
      </c>
      <c r="C6" s="169"/>
      <c r="D6" s="169"/>
      <c r="E6" s="169"/>
      <c r="F6" s="169"/>
      <c r="G6" s="169"/>
      <c r="H6" s="169"/>
      <c r="I6" s="228">
        <f>SUM(I7:I12)</f>
        <v>127089.47613793104</v>
      </c>
      <c r="J6" s="177"/>
      <c r="K6" s="177"/>
      <c r="L6" s="177"/>
      <c r="M6" s="177"/>
      <c r="N6" s="177"/>
      <c r="O6" s="177"/>
      <c r="P6" s="175">
        <f>SUM(P7:P12)</f>
        <v>139348.29236901147</v>
      </c>
      <c r="Q6" s="177"/>
      <c r="R6" s="169"/>
      <c r="S6" s="169"/>
      <c r="T6" s="169"/>
      <c r="U6" s="169"/>
      <c r="V6" s="169"/>
      <c r="W6" s="228">
        <f>SUM(W7:W12)</f>
        <v>166396.80954467217</v>
      </c>
      <c r="X6" s="169"/>
      <c r="Y6" s="169"/>
      <c r="Z6" s="169"/>
      <c r="AA6" s="169"/>
      <c r="AB6" s="169"/>
      <c r="AC6" s="228">
        <f>SUM(AC7:AC12)</f>
        <v>198987.22796497014</v>
      </c>
      <c r="AD6" s="169"/>
      <c r="AE6" s="169"/>
      <c r="AF6" s="169"/>
      <c r="AG6" s="169"/>
      <c r="AH6" s="169"/>
      <c r="AI6" s="228">
        <f>SUM(AI7:AI12)</f>
        <v>239790.38171697949</v>
      </c>
      <c r="AJ6" s="169"/>
      <c r="AK6" s="169"/>
      <c r="AL6" s="169"/>
      <c r="AM6" s="169"/>
      <c r="AN6" s="169"/>
      <c r="AO6" s="228">
        <f>SUM(AO7:AO12)</f>
        <v>290819.46030503989</v>
      </c>
      <c r="AP6" s="169"/>
      <c r="AQ6" s="169"/>
      <c r="AR6" s="169"/>
      <c r="AS6" s="169"/>
      <c r="AT6" s="169"/>
      <c r="AU6" s="169"/>
      <c r="AV6" s="48">
        <v>55700</v>
      </c>
      <c r="AW6" s="48">
        <v>53772</v>
      </c>
      <c r="AX6" s="48">
        <v>59613.237066666661</v>
      </c>
      <c r="AY6" s="48">
        <v>68637.136733066654</v>
      </c>
      <c r="AZ6" s="48">
        <v>79030.194594759058</v>
      </c>
      <c r="BA6" s="48">
        <v>91000.324845696232</v>
      </c>
      <c r="BB6" s="48">
        <v>104787.02626882352</v>
      </c>
      <c r="BC6" s="4"/>
      <c r="BD6" s="48">
        <f t="shared" ref="BD6:BJ6" si="0">SUM(BD7:BD12)</f>
        <v>49950</v>
      </c>
      <c r="BE6" s="48">
        <f t="shared" si="0"/>
        <v>50718.476137931037</v>
      </c>
      <c r="BF6" s="48">
        <f t="shared" si="0"/>
        <v>52086.330302344824</v>
      </c>
      <c r="BG6" s="48">
        <f t="shared" si="0"/>
        <v>61557.057761605502</v>
      </c>
      <c r="BH6" s="48">
        <f t="shared" si="0"/>
        <v>72759.420992211075</v>
      </c>
      <c r="BI6" s="48">
        <f t="shared" si="0"/>
        <v>86010.948033103268</v>
      </c>
      <c r="BJ6" s="54">
        <f t="shared" si="0"/>
        <v>101687.49370997053</v>
      </c>
      <c r="BK6" s="4"/>
      <c r="BL6" s="48">
        <f t="shared" ref="BL6:BR6" si="1">SUM(BL7:BL12)</f>
        <v>24955</v>
      </c>
      <c r="BM6" s="48">
        <f t="shared" si="1"/>
        <v>25118</v>
      </c>
      <c r="BN6" s="48">
        <f t="shared" si="1"/>
        <v>30405.325000000001</v>
      </c>
      <c r="BO6" s="48">
        <f t="shared" si="1"/>
        <v>39086.870050000005</v>
      </c>
      <c r="BP6" s="48">
        <f t="shared" si="1"/>
        <v>50209.580128000001</v>
      </c>
      <c r="BQ6" s="48">
        <f t="shared" si="1"/>
        <v>65918.849975680001</v>
      </c>
      <c r="BR6" s="54">
        <f t="shared" si="1"/>
        <v>87612.518520620812</v>
      </c>
      <c r="BS6" s="4"/>
      <c r="BT6" s="48">
        <f t="shared" ref="BT6:BZ6" si="2">SUM(BT7:BT12)</f>
        <v>10010</v>
      </c>
      <c r="BU6" s="48">
        <f t="shared" si="2"/>
        <v>9266.6575555555519</v>
      </c>
      <c r="BV6" s="48">
        <f t="shared" si="2"/>
        <v>9888.7310522222233</v>
      </c>
      <c r="BW6" s="48">
        <f t="shared" si="2"/>
        <v>10967.440475067222</v>
      </c>
      <c r="BX6" s="48">
        <f t="shared" si="2"/>
        <v>12177.162236787888</v>
      </c>
      <c r="BY6" s="48">
        <f t="shared" si="2"/>
        <v>13533.812302317616</v>
      </c>
      <c r="BZ6" s="54">
        <f t="shared" si="2"/>
        <v>15055.240344959606</v>
      </c>
    </row>
    <row r="7" spans="1:78" x14ac:dyDescent="0.2">
      <c r="A7" s="199" t="s">
        <v>71</v>
      </c>
      <c r="B7" s="183">
        <f>(AV7+BD7+BL7)+SUM(C7:H7)</f>
        <v>51318</v>
      </c>
      <c r="C7" s="176">
        <f>-Вводные!C23</f>
        <v>-110</v>
      </c>
      <c r="D7" s="169"/>
      <c r="E7" s="169"/>
      <c r="F7" s="176">
        <f>-Вводные!C26</f>
        <v>-22</v>
      </c>
      <c r="G7" s="169"/>
      <c r="H7" s="169"/>
      <c r="I7" s="176">
        <f>(AW7+BE7+BM7)+SUM(J7:O7)</f>
        <v>51370</v>
      </c>
      <c r="J7" s="183">
        <f>-Вводные!D23</f>
        <v>-110</v>
      </c>
      <c r="K7" s="177"/>
      <c r="L7" s="177"/>
      <c r="M7" s="183">
        <f>-Вводные!D26</f>
        <v>-22</v>
      </c>
      <c r="N7" s="177"/>
      <c r="O7" s="177"/>
      <c r="P7" s="183">
        <f>(AX7+BF7+BN7)+SUM(Q7:U7)</f>
        <v>59184.83706666666</v>
      </c>
      <c r="Q7" s="183">
        <f>-Вводные!E23</f>
        <v>-115.5</v>
      </c>
      <c r="R7" s="169"/>
      <c r="S7" s="169"/>
      <c r="T7" s="176">
        <f>-Вводные!E26</f>
        <v>-23.1</v>
      </c>
      <c r="U7" s="169"/>
      <c r="V7" s="169"/>
      <c r="W7" s="176">
        <f>(AY7+BG7+BO7)+SUM(X7:AB7)</f>
        <v>68187.591733066656</v>
      </c>
      <c r="X7" s="176">
        <f>-Вводные!F23</f>
        <v>-121</v>
      </c>
      <c r="Y7" s="169"/>
      <c r="Z7" s="169"/>
      <c r="AA7" s="176">
        <f>-Вводные!F26</f>
        <v>-24.255000000000003</v>
      </c>
      <c r="AB7" s="169"/>
      <c r="AC7" s="176">
        <f>(AZ7+BH7+BP7)+SUM(AD7:AH7)</f>
        <v>78558.722344759066</v>
      </c>
      <c r="AD7" s="176">
        <f>-Вводные!G23</f>
        <v>-126.5</v>
      </c>
      <c r="AE7" s="169"/>
      <c r="AF7" s="169"/>
      <c r="AG7" s="176">
        <f>-Вводные!G26</f>
        <v>-25.467750000000002</v>
      </c>
      <c r="AH7" s="169"/>
      <c r="AI7" s="176">
        <f>(BA7+BI7+BQ7)+SUM(AJ7:AN7)</f>
        <v>90506.103983196241</v>
      </c>
      <c r="AJ7" s="176">
        <f>-Вводные!H23</f>
        <v>-132</v>
      </c>
      <c r="AK7" s="169"/>
      <c r="AL7" s="169"/>
      <c r="AM7" s="176">
        <f>-Вводные!H26</f>
        <v>-26.741137500000004</v>
      </c>
      <c r="AN7" s="169"/>
      <c r="AO7" s="176">
        <f>(BB7+BJ7+BR7)+SUM(AP7:AT7)</f>
        <v>104269.19436319852</v>
      </c>
      <c r="AP7" s="176">
        <f>-Вводные!I23</f>
        <v>-137.5</v>
      </c>
      <c r="AQ7" s="169"/>
      <c r="AR7" s="169"/>
      <c r="AS7" s="176">
        <f>-Вводные!I26</f>
        <v>-28.078194375000002</v>
      </c>
      <c r="AT7" s="169"/>
      <c r="AU7" s="169"/>
      <c r="AV7" s="150">
        <v>51450</v>
      </c>
      <c r="AW7" s="150">
        <v>51502</v>
      </c>
      <c r="AX7" s="150">
        <v>59323.437066666658</v>
      </c>
      <c r="AY7" s="150">
        <v>68332.846733066661</v>
      </c>
      <c r="AZ7" s="150">
        <v>78710.690094759062</v>
      </c>
      <c r="BA7" s="150">
        <v>90664.845120696235</v>
      </c>
      <c r="BB7" s="150">
        <v>104434.77255757352</v>
      </c>
      <c r="BC7" s="4"/>
      <c r="BD7" s="150">
        <v>0</v>
      </c>
      <c r="BE7" s="150">
        <v>0</v>
      </c>
      <c r="BF7" s="150">
        <v>0</v>
      </c>
      <c r="BG7" s="150">
        <v>0</v>
      </c>
      <c r="BH7" s="150">
        <v>0</v>
      </c>
      <c r="BI7" s="150">
        <v>0</v>
      </c>
      <c r="BJ7" s="151">
        <v>0</v>
      </c>
      <c r="BK7" s="4"/>
      <c r="BL7" s="150">
        <v>0</v>
      </c>
      <c r="BM7" s="150">
        <v>0</v>
      </c>
      <c r="BN7" s="150">
        <v>0</v>
      </c>
      <c r="BO7" s="150">
        <v>0</v>
      </c>
      <c r="BP7" s="150">
        <v>0</v>
      </c>
      <c r="BQ7" s="150">
        <v>0</v>
      </c>
      <c r="BR7" s="151">
        <v>0</v>
      </c>
      <c r="BS7" s="4"/>
      <c r="BT7" s="49">
        <v>0</v>
      </c>
      <c r="BU7" s="55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</row>
    <row r="8" spans="1:78" x14ac:dyDescent="0.2">
      <c r="A8" s="199" t="s">
        <v>72</v>
      </c>
      <c r="B8" s="183">
        <f>(AV8+BD8+BL8)+SUM(C8:H8)</f>
        <v>26290</v>
      </c>
      <c r="C8" s="169"/>
      <c r="D8" s="169"/>
      <c r="E8" s="169"/>
      <c r="F8" s="169"/>
      <c r="G8" s="176">
        <f>-Вводные!C27</f>
        <v>-1210</v>
      </c>
      <c r="H8" s="169"/>
      <c r="I8" s="176">
        <f>(AW8+BE8+BM8)+SUM(J8:O8)</f>
        <v>26879.768110344827</v>
      </c>
      <c r="J8" s="177"/>
      <c r="K8" s="177"/>
      <c r="L8" s="177"/>
      <c r="M8" s="177"/>
      <c r="N8" s="183">
        <f>-Вводные!D27</f>
        <v>-1210</v>
      </c>
      <c r="O8" s="177"/>
      <c r="P8" s="183">
        <f>(AX8+BF8+BN8)+SUM(Q8:U8)</f>
        <v>31825.926370206893</v>
      </c>
      <c r="Q8" s="177"/>
      <c r="R8" s="169"/>
      <c r="S8" s="169"/>
      <c r="T8" s="169"/>
      <c r="U8" s="176">
        <f>-Вводные!E27</f>
        <v>-1320</v>
      </c>
      <c r="V8" s="169"/>
      <c r="W8" s="176">
        <f>(AY8+BG8+BO8)+SUM(X8:AB8)</f>
        <v>37792.19311684413</v>
      </c>
      <c r="X8" s="169"/>
      <c r="Y8" s="169"/>
      <c r="Z8" s="169"/>
      <c r="AA8" s="169"/>
      <c r="AB8" s="176">
        <f>-Вводные!F27</f>
        <v>-1320</v>
      </c>
      <c r="AC8" s="176">
        <f>(AZ8+BH8+BP8)+SUM(AD8:AH8)</f>
        <v>44832.38787787607</v>
      </c>
      <c r="AD8" s="169"/>
      <c r="AE8" s="169"/>
      <c r="AF8" s="169"/>
      <c r="AG8" s="169"/>
      <c r="AH8" s="176">
        <f>-Вводные!G27</f>
        <v>-1320</v>
      </c>
      <c r="AI8" s="176">
        <f t="shared" ref="AI8:AI9" si="3">(BA8+BI8+BQ8)+SUM(AJ8:AN8)</f>
        <v>53139.817695893762</v>
      </c>
      <c r="AJ8" s="169"/>
      <c r="AK8" s="169"/>
      <c r="AL8" s="169"/>
      <c r="AM8" s="169"/>
      <c r="AN8" s="176">
        <f>-Вводные!H27</f>
        <v>-1320</v>
      </c>
      <c r="AO8" s="176">
        <f t="shared" ref="AO8:AO9" si="4">(BB8+BJ8+BR8)+SUM(AP8:AT8)</f>
        <v>62942.584881154638</v>
      </c>
      <c r="AP8" s="169"/>
      <c r="AQ8" s="169"/>
      <c r="AR8" s="169"/>
      <c r="AS8" s="169"/>
      <c r="AT8" s="176">
        <f>-Вводные!I27</f>
        <v>-1320</v>
      </c>
      <c r="AU8" s="169"/>
      <c r="AV8" s="49">
        <v>0</v>
      </c>
      <c r="AW8" s="49">
        <v>0</v>
      </c>
      <c r="AX8" s="49">
        <v>0</v>
      </c>
      <c r="AY8" s="49">
        <v>0</v>
      </c>
      <c r="AZ8" s="49">
        <v>0</v>
      </c>
      <c r="BA8" s="49">
        <v>0</v>
      </c>
      <c r="BB8" s="49">
        <v>0</v>
      </c>
      <c r="BC8" s="4"/>
      <c r="BD8" s="49">
        <v>27500</v>
      </c>
      <c r="BE8" s="49">
        <v>28089.768110344827</v>
      </c>
      <c r="BF8" s="49">
        <v>33145.926370206893</v>
      </c>
      <c r="BG8" s="49">
        <v>39112.19311684413</v>
      </c>
      <c r="BH8" s="49">
        <v>46152.38787787607</v>
      </c>
      <c r="BI8" s="49">
        <v>54459.817695893762</v>
      </c>
      <c r="BJ8" s="55">
        <v>64262.584881154638</v>
      </c>
      <c r="BK8" s="4"/>
      <c r="BL8" s="49">
        <v>0</v>
      </c>
      <c r="BM8" s="49">
        <v>0</v>
      </c>
      <c r="BN8" s="49">
        <v>0</v>
      </c>
      <c r="BO8" s="49">
        <v>0</v>
      </c>
      <c r="BP8" s="49">
        <v>0</v>
      </c>
      <c r="BQ8" s="49">
        <v>0</v>
      </c>
      <c r="BR8" s="55">
        <v>0</v>
      </c>
      <c r="BS8" s="4"/>
      <c r="BT8" s="49">
        <v>0</v>
      </c>
      <c r="BU8" s="49">
        <v>0</v>
      </c>
      <c r="BV8" s="49">
        <v>0</v>
      </c>
      <c r="BW8" s="49">
        <v>0</v>
      </c>
      <c r="BX8" s="49">
        <v>0</v>
      </c>
      <c r="BY8" s="49">
        <v>0</v>
      </c>
      <c r="BZ8" s="55">
        <v>0</v>
      </c>
    </row>
    <row r="9" spans="1:78" x14ac:dyDescent="0.2">
      <c r="A9" s="199" t="s">
        <v>73</v>
      </c>
      <c r="B9" s="183">
        <f>(AV9+BD9+BL9)+SUM(C9:H9)</f>
        <v>13823</v>
      </c>
      <c r="C9" s="169"/>
      <c r="D9" s="176">
        <f>-Вводные!C24</f>
        <v>-1100</v>
      </c>
      <c r="E9" s="176">
        <f>-Вводные!C25</f>
        <v>-77</v>
      </c>
      <c r="F9" s="169"/>
      <c r="G9" s="169"/>
      <c r="H9" s="169"/>
      <c r="I9" s="176">
        <f>(AW9+BE9+BM9)+SUM(J9:O9)</f>
        <v>13948.259751724137</v>
      </c>
      <c r="J9" s="177"/>
      <c r="K9" s="183">
        <f>-Вводные!D24</f>
        <v>-1100</v>
      </c>
      <c r="L9" s="183">
        <f>-Вводные!D25</f>
        <v>-77</v>
      </c>
      <c r="M9" s="177"/>
      <c r="N9" s="177"/>
      <c r="O9" s="177"/>
      <c r="P9" s="183">
        <f>(AX9+BF9+BN9)+SUM(Q9:U9)</f>
        <v>16701.059104551721</v>
      </c>
      <c r="Q9" s="177"/>
      <c r="R9" s="176">
        <f>-Вводные!E24</f>
        <v>-1210</v>
      </c>
      <c r="S9" s="176">
        <f>-Вводные!E25</f>
        <v>-88</v>
      </c>
      <c r="T9" s="169"/>
      <c r="U9" s="169"/>
      <c r="V9" s="169"/>
      <c r="W9" s="176">
        <f>(AY9+BG9+BO9)+SUM(X9:AB9)</f>
        <v>19999.880334416546</v>
      </c>
      <c r="X9" s="169"/>
      <c r="Y9" s="176">
        <f>-Вводные!F24</f>
        <v>-1320</v>
      </c>
      <c r="Z9" s="176">
        <f>-Вводные!F25</f>
        <v>-99</v>
      </c>
      <c r="AA9" s="169"/>
      <c r="AB9" s="169"/>
      <c r="AC9" s="176">
        <f>(AZ9+BH9+BP9)+SUM(AD9:AH9)</f>
        <v>23948.467597955689</v>
      </c>
      <c r="AD9" s="169"/>
      <c r="AE9" s="176">
        <f>-Вводные!G24</f>
        <v>-1430</v>
      </c>
      <c r="AF9" s="176">
        <f>-Вводные!G25</f>
        <v>-110</v>
      </c>
      <c r="AG9" s="169"/>
      <c r="AH9" s="169"/>
      <c r="AI9" s="176">
        <f t="shared" si="3"/>
        <v>28670.276441567268</v>
      </c>
      <c r="AJ9" s="169"/>
      <c r="AK9" s="176">
        <f>-Вводные!H24</f>
        <v>-1540</v>
      </c>
      <c r="AL9" s="176">
        <f>-Вводные!H25</f>
        <v>-121</v>
      </c>
      <c r="AM9" s="169"/>
      <c r="AN9" s="169"/>
      <c r="AO9" s="176">
        <f t="shared" si="4"/>
        <v>34312.21896546505</v>
      </c>
      <c r="AP9" s="169"/>
      <c r="AQ9" s="176">
        <f>-Вводные!I24</f>
        <v>-1650</v>
      </c>
      <c r="AR9" s="176">
        <f>-Вводные!I25</f>
        <v>-132</v>
      </c>
      <c r="AS9" s="169"/>
      <c r="AT9" s="169"/>
      <c r="AU9" s="169"/>
      <c r="AV9" s="49">
        <v>0</v>
      </c>
      <c r="AW9" s="49">
        <v>0</v>
      </c>
      <c r="AX9" s="49">
        <v>0</v>
      </c>
      <c r="AY9" s="49">
        <v>0</v>
      </c>
      <c r="AZ9" s="49">
        <v>0</v>
      </c>
      <c r="BA9" s="49">
        <v>0</v>
      </c>
      <c r="BB9" s="49">
        <v>0</v>
      </c>
      <c r="BC9" s="4"/>
      <c r="BD9" s="49">
        <v>15000</v>
      </c>
      <c r="BE9" s="49">
        <v>15125.259751724137</v>
      </c>
      <c r="BF9" s="49">
        <v>17999.059104551721</v>
      </c>
      <c r="BG9" s="49">
        <v>21418.880334416546</v>
      </c>
      <c r="BH9" s="49">
        <v>25488.467597955689</v>
      </c>
      <c r="BI9" s="49">
        <v>30331.276441567268</v>
      </c>
      <c r="BJ9" s="55">
        <v>36094.21896546505</v>
      </c>
      <c r="BK9" s="4"/>
      <c r="BL9" s="49">
        <v>0</v>
      </c>
      <c r="BM9" s="49">
        <v>0</v>
      </c>
      <c r="BN9" s="49">
        <v>0</v>
      </c>
      <c r="BO9" s="49">
        <v>0</v>
      </c>
      <c r="BP9" s="49">
        <v>0</v>
      </c>
      <c r="BQ9" s="49">
        <v>0</v>
      </c>
      <c r="BR9" s="55">
        <v>0</v>
      </c>
      <c r="BS9" s="4"/>
      <c r="BT9" s="49">
        <v>0</v>
      </c>
      <c r="BU9" s="49">
        <v>0</v>
      </c>
      <c r="BV9" s="49">
        <v>0</v>
      </c>
      <c r="BW9" s="49">
        <v>0</v>
      </c>
      <c r="BX9" s="49">
        <v>0</v>
      </c>
      <c r="BY9" s="49">
        <v>0</v>
      </c>
      <c r="BZ9" s="55">
        <v>0</v>
      </c>
    </row>
    <row r="10" spans="1:78" x14ac:dyDescent="0.2">
      <c r="A10" s="199" t="s">
        <v>74</v>
      </c>
      <c r="B10" s="183">
        <f>(AV10+BD10+BL10)</f>
        <v>23700</v>
      </c>
      <c r="C10" s="169"/>
      <c r="D10" s="169"/>
      <c r="E10" s="169"/>
      <c r="F10" s="169"/>
      <c r="G10" s="169"/>
      <c r="H10" s="169"/>
      <c r="I10" s="176">
        <f>(AW10+BE10+BM10)</f>
        <v>24565</v>
      </c>
      <c r="J10" s="177"/>
      <c r="K10" s="177"/>
      <c r="L10" s="177"/>
      <c r="M10" s="177"/>
      <c r="N10" s="177"/>
      <c r="O10" s="177"/>
      <c r="P10" s="183">
        <f>(AX10+BF10+BN10)</f>
        <v>29797.345000000001</v>
      </c>
      <c r="Q10" s="177"/>
      <c r="R10" s="169"/>
      <c r="S10" s="169"/>
      <c r="T10" s="169"/>
      <c r="U10" s="169"/>
      <c r="V10" s="169"/>
      <c r="W10" s="176">
        <f t="shared" ref="W10:W16" si="5">(AY10+BG10+BO10)</f>
        <v>37246.681250000001</v>
      </c>
      <c r="X10" s="169"/>
      <c r="Y10" s="169"/>
      <c r="Z10" s="169"/>
      <c r="AA10" s="169"/>
      <c r="AB10" s="169"/>
      <c r="AC10" s="176">
        <f t="shared" ref="AC10:AC11" si="6">(AZ10+BH10+BP10)</f>
        <v>47675.752</v>
      </c>
      <c r="AD10" s="169"/>
      <c r="AE10" s="169"/>
      <c r="AF10" s="169"/>
      <c r="AG10" s="169"/>
      <c r="AH10" s="169"/>
      <c r="AI10" s="176">
        <f t="shared" ref="AI10:AI16" si="7">BA10+BI10+BQ10</f>
        <v>63408.750160000003</v>
      </c>
      <c r="AJ10" s="169"/>
      <c r="AK10" s="169"/>
      <c r="AL10" s="169"/>
      <c r="AM10" s="169"/>
      <c r="AN10" s="169"/>
      <c r="AO10" s="176">
        <f t="shared" ref="AO10:AO16" si="8">BB10+BJ10+BR10</f>
        <v>85601.812716000015</v>
      </c>
      <c r="AP10" s="169"/>
      <c r="AQ10" s="169"/>
      <c r="AR10" s="169"/>
      <c r="AS10" s="169"/>
      <c r="AT10" s="169"/>
      <c r="AU10" s="169"/>
      <c r="AV10" s="49">
        <v>0</v>
      </c>
      <c r="AW10" s="49">
        <v>0</v>
      </c>
      <c r="AX10" s="49">
        <v>0</v>
      </c>
      <c r="AY10" s="49">
        <v>0</v>
      </c>
      <c r="AZ10" s="49">
        <v>0</v>
      </c>
      <c r="BA10" s="49">
        <v>0</v>
      </c>
      <c r="BB10" s="49">
        <v>0</v>
      </c>
      <c r="BC10" s="4"/>
      <c r="BD10" s="49">
        <v>0</v>
      </c>
      <c r="BE10" s="49">
        <v>0</v>
      </c>
      <c r="BF10" s="49">
        <v>0</v>
      </c>
      <c r="BG10" s="49">
        <v>0</v>
      </c>
      <c r="BH10" s="49">
        <v>0</v>
      </c>
      <c r="BI10" s="49">
        <v>0</v>
      </c>
      <c r="BJ10" s="55">
        <v>0</v>
      </c>
      <c r="BK10" s="4"/>
      <c r="BL10" s="49">
        <v>23700</v>
      </c>
      <c r="BM10" s="49">
        <v>24565</v>
      </c>
      <c r="BN10" s="49">
        <v>29797.345000000001</v>
      </c>
      <c r="BO10" s="49">
        <v>37246.681250000001</v>
      </c>
      <c r="BP10" s="49">
        <v>47675.752</v>
      </c>
      <c r="BQ10" s="49">
        <v>63408.750160000003</v>
      </c>
      <c r="BR10" s="55">
        <v>85601.812716000015</v>
      </c>
      <c r="BS10" s="4"/>
      <c r="BT10" s="49">
        <v>0</v>
      </c>
      <c r="BU10" s="49">
        <v>0</v>
      </c>
      <c r="BV10" s="49">
        <v>0</v>
      </c>
      <c r="BW10" s="49">
        <v>0</v>
      </c>
      <c r="BX10" s="49">
        <v>0</v>
      </c>
      <c r="BY10" s="49">
        <v>0</v>
      </c>
      <c r="BZ10" s="55">
        <v>0</v>
      </c>
    </row>
    <row r="11" spans="1:78" x14ac:dyDescent="0.2">
      <c r="A11" s="199" t="s">
        <v>75</v>
      </c>
      <c r="B11" s="183">
        <f>(AV11+BD11+BL11)</f>
        <v>0</v>
      </c>
      <c r="C11" s="169"/>
      <c r="D11" s="169"/>
      <c r="E11" s="169"/>
      <c r="F11" s="169"/>
      <c r="G11" s="169"/>
      <c r="H11" s="169"/>
      <c r="I11" s="176">
        <f>(AW11+BE11+BM11)</f>
        <v>0</v>
      </c>
      <c r="J11" s="177"/>
      <c r="K11" s="177"/>
      <c r="L11" s="177"/>
      <c r="M11" s="177"/>
      <c r="N11" s="177"/>
      <c r="O11" s="177"/>
      <c r="P11" s="183">
        <f>(AX11+BF11+BN11)</f>
        <v>0</v>
      </c>
      <c r="Q11" s="177"/>
      <c r="R11" s="169"/>
      <c r="S11" s="169"/>
      <c r="T11" s="169"/>
      <c r="U11" s="169"/>
      <c r="V11" s="169"/>
      <c r="W11" s="176">
        <f t="shared" si="5"/>
        <v>0</v>
      </c>
      <c r="X11" s="169"/>
      <c r="Y11" s="169"/>
      <c r="Z11" s="169"/>
      <c r="AA11" s="169"/>
      <c r="AB11" s="169"/>
      <c r="AC11" s="176">
        <f t="shared" si="6"/>
        <v>0</v>
      </c>
      <c r="AD11" s="169"/>
      <c r="AE11" s="169"/>
      <c r="AF11" s="169"/>
      <c r="AG11" s="169"/>
      <c r="AH11" s="169"/>
      <c r="AI11" s="176">
        <f t="shared" si="7"/>
        <v>0</v>
      </c>
      <c r="AJ11" s="169"/>
      <c r="AK11" s="169"/>
      <c r="AL11" s="169"/>
      <c r="AM11" s="169"/>
      <c r="AN11" s="169"/>
      <c r="AO11" s="176">
        <f t="shared" si="8"/>
        <v>0</v>
      </c>
      <c r="AP11" s="169"/>
      <c r="AQ11" s="169"/>
      <c r="AR11" s="169"/>
      <c r="AS11" s="169"/>
      <c r="AT11" s="169"/>
      <c r="AU11" s="169"/>
      <c r="AV11" s="49">
        <v>0</v>
      </c>
      <c r="AW11" s="49">
        <v>0</v>
      </c>
      <c r="AX11" s="49">
        <v>0</v>
      </c>
      <c r="AY11" s="49">
        <v>0</v>
      </c>
      <c r="AZ11" s="49">
        <v>0</v>
      </c>
      <c r="BA11" s="49">
        <v>0</v>
      </c>
      <c r="BB11" s="49">
        <v>0</v>
      </c>
      <c r="BC11" s="4"/>
      <c r="BD11" s="49">
        <v>0</v>
      </c>
      <c r="BE11" s="49">
        <v>0</v>
      </c>
      <c r="BF11" s="49">
        <v>0</v>
      </c>
      <c r="BG11" s="49">
        <v>0</v>
      </c>
      <c r="BH11" s="49">
        <v>0</v>
      </c>
      <c r="BI11" s="49">
        <v>0</v>
      </c>
      <c r="BJ11" s="55">
        <v>0</v>
      </c>
      <c r="BK11" s="4"/>
      <c r="BL11" s="49">
        <v>0</v>
      </c>
      <c r="BM11" s="49">
        <v>0</v>
      </c>
      <c r="BN11" s="49">
        <v>0</v>
      </c>
      <c r="BO11" s="49">
        <v>0</v>
      </c>
      <c r="BP11" s="49">
        <v>0</v>
      </c>
      <c r="BQ11" s="49">
        <v>0</v>
      </c>
      <c r="BR11" s="55">
        <v>0</v>
      </c>
      <c r="BS11" s="4"/>
      <c r="BT11" s="49">
        <v>8500</v>
      </c>
      <c r="BU11" s="49">
        <v>7911.8422222222225</v>
      </c>
      <c r="BV11" s="49">
        <v>8873.1310522222229</v>
      </c>
      <c r="BW11" s="49">
        <v>9951.2164750672218</v>
      </c>
      <c r="BX11" s="49">
        <v>11160.289276787889</v>
      </c>
      <c r="BY11" s="49">
        <v>12516.264423917617</v>
      </c>
      <c r="BZ11" s="55">
        <v>14036.990551423607</v>
      </c>
    </row>
    <row r="12" spans="1:78" x14ac:dyDescent="0.2">
      <c r="A12" s="199" t="s">
        <v>76</v>
      </c>
      <c r="B12" s="183">
        <f>(AV12+BD12+BL12)</f>
        <v>12955</v>
      </c>
      <c r="C12" s="169"/>
      <c r="D12" s="169"/>
      <c r="E12" s="169"/>
      <c r="F12" s="169"/>
      <c r="G12" s="169"/>
      <c r="H12" s="169"/>
      <c r="I12" s="176">
        <f>(AW12+BE12+BM12)</f>
        <v>10326.448275862069</v>
      </c>
      <c r="J12" s="177"/>
      <c r="K12" s="177"/>
      <c r="L12" s="177"/>
      <c r="M12" s="177"/>
      <c r="N12" s="177"/>
      <c r="O12" s="177"/>
      <c r="P12" s="183">
        <f>(AX12+BF12+BN12)</f>
        <v>1839.1248275862074</v>
      </c>
      <c r="Q12" s="177"/>
      <c r="R12" s="169"/>
      <c r="S12" s="169"/>
      <c r="T12" s="169"/>
      <c r="U12" s="169"/>
      <c r="V12" s="169"/>
      <c r="W12" s="176">
        <f t="shared" si="5"/>
        <v>3170.4631103448278</v>
      </c>
      <c r="X12" s="169"/>
      <c r="Y12" s="169"/>
      <c r="Z12" s="169"/>
      <c r="AA12" s="169"/>
      <c r="AB12" s="169"/>
      <c r="AC12" s="176">
        <f>(AZ12+BH12+BP12)</f>
        <v>3971.8981443793105</v>
      </c>
      <c r="AD12" s="169"/>
      <c r="AE12" s="169"/>
      <c r="AF12" s="169"/>
      <c r="AG12" s="169"/>
      <c r="AH12" s="169"/>
      <c r="AI12" s="176">
        <f t="shared" si="7"/>
        <v>4065.4334363222433</v>
      </c>
      <c r="AJ12" s="169"/>
      <c r="AK12" s="169"/>
      <c r="AL12" s="169"/>
      <c r="AM12" s="169"/>
      <c r="AN12" s="169"/>
      <c r="AO12" s="176">
        <f t="shared" si="8"/>
        <v>3693.6493792216411</v>
      </c>
      <c r="AP12" s="169"/>
      <c r="AQ12" s="169"/>
      <c r="AR12" s="169"/>
      <c r="AS12" s="169"/>
      <c r="AT12" s="169"/>
      <c r="AU12" s="169"/>
      <c r="AV12" s="49">
        <v>4250</v>
      </c>
      <c r="AW12" s="49">
        <v>2270</v>
      </c>
      <c r="AX12" s="49">
        <v>289.8</v>
      </c>
      <c r="AY12" s="49">
        <v>304.29000000000002</v>
      </c>
      <c r="AZ12" s="49">
        <v>319.50450000000001</v>
      </c>
      <c r="BA12" s="49">
        <v>335.47972500000003</v>
      </c>
      <c r="BB12" s="49">
        <v>352.25371125000004</v>
      </c>
      <c r="BC12" s="4"/>
      <c r="BD12" s="49">
        <v>7450</v>
      </c>
      <c r="BE12" s="49">
        <v>7503.4482758620697</v>
      </c>
      <c r="BF12" s="49">
        <v>941.34482758620743</v>
      </c>
      <c r="BG12" s="49">
        <v>1025.9843103448275</v>
      </c>
      <c r="BH12" s="49">
        <v>1118.5655163793108</v>
      </c>
      <c r="BI12" s="49">
        <v>1219.8538956422435</v>
      </c>
      <c r="BJ12" s="55">
        <v>1330.6898633508408</v>
      </c>
      <c r="BK12" s="4"/>
      <c r="BL12" s="49">
        <v>1255</v>
      </c>
      <c r="BM12" s="49">
        <v>553</v>
      </c>
      <c r="BN12" s="49">
        <v>607.98</v>
      </c>
      <c r="BO12" s="49">
        <v>1840.1888000000004</v>
      </c>
      <c r="BP12" s="49">
        <v>2533.8281279999997</v>
      </c>
      <c r="BQ12" s="49">
        <v>2510.0998156799997</v>
      </c>
      <c r="BR12" s="55">
        <v>2010.7058046208003</v>
      </c>
      <c r="BS12" s="4"/>
      <c r="BT12" s="49">
        <v>1510</v>
      </c>
      <c r="BU12" s="49">
        <v>1354.81533333333</v>
      </c>
      <c r="BV12" s="49">
        <v>1015.6000000000001</v>
      </c>
      <c r="BW12" s="49">
        <v>1016.2240000000002</v>
      </c>
      <c r="BX12" s="49">
        <v>1016.8729599999997</v>
      </c>
      <c r="BY12" s="49">
        <v>1017.5478783999997</v>
      </c>
      <c r="BZ12" s="55">
        <v>1018.2497935359997</v>
      </c>
    </row>
    <row r="13" spans="1:78" x14ac:dyDescent="0.2">
      <c r="A13" s="200" t="s">
        <v>77</v>
      </c>
      <c r="B13" s="175">
        <f>SUM(B14:B17)</f>
        <v>-92192.25</v>
      </c>
      <c r="C13" s="169"/>
      <c r="D13" s="169"/>
      <c r="E13" s="169"/>
      <c r="F13" s="169"/>
      <c r="G13" s="169"/>
      <c r="H13" s="169"/>
      <c r="I13" s="228">
        <f>SUM(I14:I17)</f>
        <v>-93669.665196726943</v>
      </c>
      <c r="J13" s="177"/>
      <c r="K13" s="177"/>
      <c r="L13" s="177"/>
      <c r="M13" s="177"/>
      <c r="N13" s="177"/>
      <c r="O13" s="177"/>
      <c r="P13" s="175">
        <f>SUM(P14:P17)</f>
        <v>-102387.52513134046</v>
      </c>
      <c r="Q13" s="177"/>
      <c r="R13" s="169"/>
      <c r="S13" s="169"/>
      <c r="T13" s="169"/>
      <c r="U13" s="169"/>
      <c r="V13" s="169"/>
      <c r="W13" s="228">
        <f>SUM(W14:W17)</f>
        <v>-116457.90083282047</v>
      </c>
      <c r="X13" s="169"/>
      <c r="Y13" s="169"/>
      <c r="Z13" s="169"/>
      <c r="AA13" s="169"/>
      <c r="AB13" s="169"/>
      <c r="AC13" s="228">
        <f>SUM(AC14:AC17)</f>
        <v>-132882.75136751583</v>
      </c>
      <c r="AD13" s="169"/>
      <c r="AE13" s="169"/>
      <c r="AF13" s="169"/>
      <c r="AG13" s="169"/>
      <c r="AH13" s="169"/>
      <c r="AI13" s="228">
        <f>SUM(AI14:AI17)</f>
        <v>-152504.01184057913</v>
      </c>
      <c r="AJ13" s="169"/>
      <c r="AK13" s="169"/>
      <c r="AL13" s="169"/>
      <c r="AM13" s="169"/>
      <c r="AN13" s="169"/>
      <c r="AO13" s="228">
        <f>SUM(AO14:AO17)</f>
        <v>-176037.00809215062</v>
      </c>
      <c r="AP13" s="169"/>
      <c r="AQ13" s="169"/>
      <c r="AR13" s="169"/>
      <c r="AS13" s="169"/>
      <c r="AT13" s="169"/>
      <c r="AU13" s="169"/>
      <c r="AV13" s="48">
        <v>-34004</v>
      </c>
      <c r="AW13" s="48">
        <v>-34332.416669999991</v>
      </c>
      <c r="AX13" s="48">
        <v>-40279.118624621122</v>
      </c>
      <c r="AY13" s="48">
        <v>-45213.628367709985</v>
      </c>
      <c r="AZ13" s="48">
        <v>-50610.769078631885</v>
      </c>
      <c r="BA13" s="48">
        <v>-56535.462396580348</v>
      </c>
      <c r="BB13" s="48">
        <v>-63046.0110939437</v>
      </c>
      <c r="BC13" s="4"/>
      <c r="BD13" s="48">
        <f t="shared" ref="BD13:BJ13" si="9">SUM(BD14:BD17)</f>
        <v>-37981.25</v>
      </c>
      <c r="BE13" s="48">
        <f t="shared" si="9"/>
        <v>-38292.248526726966</v>
      </c>
      <c r="BF13" s="48">
        <f t="shared" si="9"/>
        <v>-38270.447756719353</v>
      </c>
      <c r="BG13" s="48">
        <f t="shared" si="9"/>
        <v>-43706.830927110481</v>
      </c>
      <c r="BH13" s="48">
        <f t="shared" si="9"/>
        <v>-50004.15163888393</v>
      </c>
      <c r="BI13" s="48">
        <f t="shared" si="9"/>
        <v>-57305.744324538769</v>
      </c>
      <c r="BJ13" s="54">
        <f t="shared" si="9"/>
        <v>-65779.408591974323</v>
      </c>
      <c r="BK13" s="4"/>
      <c r="BL13" s="48">
        <f t="shared" ref="BL13:BR13" si="10">SUM(BL14:BL17)</f>
        <v>-22726</v>
      </c>
      <c r="BM13" s="48">
        <f t="shared" si="10"/>
        <v>-23564</v>
      </c>
      <c r="BN13" s="48">
        <f t="shared" si="10"/>
        <v>-26594.558750000004</v>
      </c>
      <c r="BO13" s="48">
        <f t="shared" si="10"/>
        <v>-30421.696537999997</v>
      </c>
      <c r="BP13" s="48">
        <f t="shared" si="10"/>
        <v>-35279.798400000007</v>
      </c>
      <c r="BQ13" s="48">
        <f t="shared" si="10"/>
        <v>-41802.546256959999</v>
      </c>
      <c r="BR13" s="54">
        <f t="shared" si="10"/>
        <v>-50479.166600607598</v>
      </c>
      <c r="BS13" s="4"/>
      <c r="BT13" s="48">
        <f t="shared" ref="BT13:BZ13" si="11">SUM(BT14:BT17)</f>
        <v>-6614.25</v>
      </c>
      <c r="BU13" s="48">
        <f t="shared" si="11"/>
        <v>-6564.3438922444457</v>
      </c>
      <c r="BV13" s="48">
        <f t="shared" si="11"/>
        <v>-6905.8137111333344</v>
      </c>
      <c r="BW13" s="48">
        <f t="shared" si="11"/>
        <v>-7433.195549633333</v>
      </c>
      <c r="BX13" s="48">
        <f t="shared" si="11"/>
        <v>-8010.1588600633331</v>
      </c>
      <c r="BY13" s="48">
        <f t="shared" si="11"/>
        <v>-8642.0314232997334</v>
      </c>
      <c r="BZ13" s="54">
        <f t="shared" si="11"/>
        <v>-9334.7528575443903</v>
      </c>
    </row>
    <row r="14" spans="1:78" x14ac:dyDescent="0.2">
      <c r="A14" s="199" t="s">
        <v>78</v>
      </c>
      <c r="B14" s="183">
        <f>(AV14+BD14+BL14)</f>
        <v>-57760</v>
      </c>
      <c r="C14" s="169"/>
      <c r="D14" s="169"/>
      <c r="E14" s="169"/>
      <c r="F14" s="169"/>
      <c r="G14" s="169"/>
      <c r="H14" s="169"/>
      <c r="I14" s="176">
        <f>(AW14+BE14+BM14)</f>
        <v>-57971.646737999996</v>
      </c>
      <c r="J14" s="177"/>
      <c r="K14" s="177"/>
      <c r="L14" s="177"/>
      <c r="M14" s="177"/>
      <c r="N14" s="177"/>
      <c r="O14" s="177"/>
      <c r="P14" s="183">
        <f>(AX14+BF14+BN14)</f>
        <v>-64524.393075666667</v>
      </c>
      <c r="Q14" s="177"/>
      <c r="R14" s="169"/>
      <c r="S14" s="169"/>
      <c r="T14" s="169"/>
      <c r="U14" s="169"/>
      <c r="V14" s="169"/>
      <c r="W14" s="176">
        <f t="shared" si="5"/>
        <v>-71691.613792546661</v>
      </c>
      <c r="X14" s="169"/>
      <c r="Y14" s="169"/>
      <c r="Z14" s="169"/>
      <c r="AA14" s="169"/>
      <c r="AB14" s="169"/>
      <c r="AC14" s="176">
        <f t="shared" ref="AC14:AC16" si="12">(AZ14+BH14+BP14)</f>
        <v>-79542.963760579471</v>
      </c>
      <c r="AD14" s="169"/>
      <c r="AE14" s="169"/>
      <c r="AF14" s="169"/>
      <c r="AG14" s="169"/>
      <c r="AH14" s="169"/>
      <c r="AI14" s="176">
        <f t="shared" si="7"/>
        <v>-88157.166406234261</v>
      </c>
      <c r="AJ14" s="169"/>
      <c r="AK14" s="169"/>
      <c r="AL14" s="169"/>
      <c r="AM14" s="169"/>
      <c r="AN14" s="169"/>
      <c r="AO14" s="176">
        <f t="shared" si="8"/>
        <v>-97623.289202088316</v>
      </c>
      <c r="AP14" s="169"/>
      <c r="AQ14" s="169"/>
      <c r="AR14" s="169"/>
      <c r="AS14" s="169"/>
      <c r="AT14" s="169"/>
      <c r="AU14" s="169"/>
      <c r="AV14" s="150">
        <v>-21110</v>
      </c>
      <c r="AW14" s="150">
        <v>-21096.079969999999</v>
      </c>
      <c r="AX14" s="150">
        <v>-23921.844764666672</v>
      </c>
      <c r="AY14" s="150">
        <v>-26917.15545054667</v>
      </c>
      <c r="AZ14" s="150">
        <v>-30092.184777579474</v>
      </c>
      <c r="BA14" s="150">
        <v>-33457.715864234247</v>
      </c>
      <c r="BB14" s="150">
        <v>-37025.178816088308</v>
      </c>
      <c r="BC14" s="4"/>
      <c r="BD14" s="150">
        <v>-20600</v>
      </c>
      <c r="BE14" s="150">
        <v>-20620.566768000001</v>
      </c>
      <c r="BF14" s="150">
        <v>-23345.098311000002</v>
      </c>
      <c r="BG14" s="150">
        <v>-26452.510842</v>
      </c>
      <c r="BH14" s="150">
        <v>-29998.430597999999</v>
      </c>
      <c r="BI14" s="150">
        <v>-34046.701335999998</v>
      </c>
      <c r="BJ14" s="151">
        <v>-38670.608116000003</v>
      </c>
      <c r="BK14" s="4"/>
      <c r="BL14" s="49">
        <v>-16050</v>
      </c>
      <c r="BM14" s="49">
        <v>-16255</v>
      </c>
      <c r="BN14" s="49">
        <v>-17257.45</v>
      </c>
      <c r="BO14" s="49">
        <v>-18321.947499999998</v>
      </c>
      <c r="BP14" s="49">
        <v>-19452.348385000001</v>
      </c>
      <c r="BQ14" s="49">
        <v>-20652.749206</v>
      </c>
      <c r="BR14" s="55">
        <v>-21927.502270000001</v>
      </c>
      <c r="BS14" s="4"/>
      <c r="BT14" s="150">
        <v>-4980</v>
      </c>
      <c r="BU14" s="150">
        <v>-5012.7577778000004</v>
      </c>
      <c r="BV14" s="150">
        <v>-5238.3318778000003</v>
      </c>
      <c r="BW14" s="150">
        <v>-5474.0568123000003</v>
      </c>
      <c r="BX14" s="150">
        <v>-5720.3893687999998</v>
      </c>
      <c r="BY14" s="150">
        <v>-5977.8068904000002</v>
      </c>
      <c r="BZ14" s="151">
        <v>-6246.8082004999997</v>
      </c>
    </row>
    <row r="15" spans="1:78" x14ac:dyDescent="0.2">
      <c r="A15" s="199" t="s">
        <v>79</v>
      </c>
      <c r="B15" s="183">
        <f>(AV15+BD15+BL15)</f>
        <v>-15000</v>
      </c>
      <c r="C15" s="169"/>
      <c r="D15" s="169"/>
      <c r="E15" s="169"/>
      <c r="F15" s="169"/>
      <c r="G15" s="169"/>
      <c r="H15" s="169"/>
      <c r="I15" s="176">
        <f>(AW15+BE15+BM15)</f>
        <v>-15338.189430068967</v>
      </c>
      <c r="J15" s="177"/>
      <c r="K15" s="177"/>
      <c r="L15" s="177"/>
      <c r="M15" s="177"/>
      <c r="N15" s="177"/>
      <c r="O15" s="177"/>
      <c r="P15" s="183">
        <f>(AX15+BF15+BN15)</f>
        <v>-17073.349859662037</v>
      </c>
      <c r="Q15" s="177"/>
      <c r="R15" s="169"/>
      <c r="S15" s="169"/>
      <c r="T15" s="169"/>
      <c r="U15" s="169"/>
      <c r="V15" s="169"/>
      <c r="W15" s="176">
        <f t="shared" si="5"/>
        <v>-18740.989440696936</v>
      </c>
      <c r="X15" s="169"/>
      <c r="Y15" s="169"/>
      <c r="Z15" s="169"/>
      <c r="AA15" s="169"/>
      <c r="AB15" s="169"/>
      <c r="AC15" s="176">
        <f t="shared" si="12"/>
        <v>-20593.793858672176</v>
      </c>
      <c r="AD15" s="169"/>
      <c r="AE15" s="169"/>
      <c r="AF15" s="169"/>
      <c r="AG15" s="169"/>
      <c r="AH15" s="169"/>
      <c r="AI15" s="176">
        <f t="shared" si="7"/>
        <v>-22654.071362020648</v>
      </c>
      <c r="AJ15" s="169"/>
      <c r="AK15" s="169"/>
      <c r="AL15" s="169"/>
      <c r="AM15" s="169"/>
      <c r="AN15" s="169"/>
      <c r="AO15" s="176">
        <f t="shared" si="8"/>
        <v>-25129.227657617972</v>
      </c>
      <c r="AP15" s="169"/>
      <c r="AQ15" s="169"/>
      <c r="AR15" s="169"/>
      <c r="AS15" s="169"/>
      <c r="AT15" s="169"/>
      <c r="AU15" s="169"/>
      <c r="AV15" s="49">
        <v>-3800</v>
      </c>
      <c r="AW15" s="49">
        <v>-3767</v>
      </c>
      <c r="AX15" s="49">
        <v>-4278.2450109392785</v>
      </c>
      <c r="AY15" s="49">
        <v>-4548.9038252944247</v>
      </c>
      <c r="AZ15" s="49">
        <v>-4803.1085344225276</v>
      </c>
      <c r="BA15" s="49">
        <v>-5029.6170449372694</v>
      </c>
      <c r="BB15" s="49">
        <v>-5214.1513096550098</v>
      </c>
      <c r="BC15" s="4"/>
      <c r="BD15" s="49">
        <v>-6800</v>
      </c>
      <c r="BE15" s="49">
        <v>-6871.1894300689673</v>
      </c>
      <c r="BF15" s="49">
        <v>-7249.1048487227599</v>
      </c>
      <c r="BG15" s="49">
        <v>-7647.8056154025116</v>
      </c>
      <c r="BH15" s="49">
        <v>-8068.4349242496492</v>
      </c>
      <c r="BI15" s="49">
        <v>-8512.1988450833796</v>
      </c>
      <c r="BJ15" s="55">
        <v>-8980.3697815629657</v>
      </c>
      <c r="BK15" s="4"/>
      <c r="BL15" s="49">
        <v>-4400</v>
      </c>
      <c r="BM15" s="49">
        <v>-4700</v>
      </c>
      <c r="BN15" s="49">
        <v>-5546</v>
      </c>
      <c r="BO15" s="49">
        <v>-6544.28</v>
      </c>
      <c r="BP15" s="49">
        <v>-7722.250399999999</v>
      </c>
      <c r="BQ15" s="49">
        <v>-9112.2554719999989</v>
      </c>
      <c r="BR15" s="55">
        <v>-10934.706566399998</v>
      </c>
      <c r="BS15" s="4"/>
      <c r="BT15" s="49">
        <v>-360</v>
      </c>
      <c r="BU15" s="49">
        <v>-366.66666666666669</v>
      </c>
      <c r="BV15" s="49">
        <v>-399.66666666666674</v>
      </c>
      <c r="BW15" s="49">
        <v>-435.63666666666677</v>
      </c>
      <c r="BX15" s="49">
        <v>-474.8439666666668</v>
      </c>
      <c r="BY15" s="49">
        <v>-517.5799236666669</v>
      </c>
      <c r="BZ15" s="55">
        <v>-564.16211679666696</v>
      </c>
    </row>
    <row r="16" spans="1:78" x14ac:dyDescent="0.2">
      <c r="A16" s="199" t="s">
        <v>80</v>
      </c>
      <c r="B16" s="183">
        <f>(AV16+BD16+BL16)</f>
        <v>-2680.25</v>
      </c>
      <c r="C16" s="169"/>
      <c r="D16" s="169"/>
      <c r="E16" s="169"/>
      <c r="F16" s="169"/>
      <c r="G16" s="169"/>
      <c r="H16" s="169"/>
      <c r="I16" s="176">
        <f>(AW16+BE16+BM16)</f>
        <v>-3125.7003210000003</v>
      </c>
      <c r="J16" s="184"/>
      <c r="K16" s="184"/>
      <c r="L16" s="184"/>
      <c r="M16" s="184"/>
      <c r="N16" s="184"/>
      <c r="O16" s="177"/>
      <c r="P16" s="183">
        <f>(AX16+BF16+BN16)</f>
        <v>-10050.152542015179</v>
      </c>
      <c r="Q16" s="177"/>
      <c r="R16" s="169"/>
      <c r="S16" s="169"/>
      <c r="T16" s="169"/>
      <c r="U16" s="169"/>
      <c r="V16" s="169"/>
      <c r="W16" s="176">
        <f t="shared" si="5"/>
        <v>-13836.113234118893</v>
      </c>
      <c r="X16" s="169"/>
      <c r="Y16" s="169"/>
      <c r="Z16" s="169"/>
      <c r="AA16" s="169"/>
      <c r="AB16" s="169"/>
      <c r="AC16" s="176">
        <f t="shared" si="12"/>
        <v>-18837.906082542391</v>
      </c>
      <c r="AD16" s="169"/>
      <c r="AE16" s="169"/>
      <c r="AF16" s="169"/>
      <c r="AG16" s="169"/>
      <c r="AH16" s="169"/>
      <c r="AI16" s="176">
        <f t="shared" si="7"/>
        <v>-25741.152752876962</v>
      </c>
      <c r="AJ16" s="169"/>
      <c r="AK16" s="169"/>
      <c r="AL16" s="169"/>
      <c r="AM16" s="169"/>
      <c r="AN16" s="169"/>
      <c r="AO16" s="176">
        <f t="shared" si="8"/>
        <v>-34897.251819703117</v>
      </c>
      <c r="AP16" s="169"/>
      <c r="AQ16" s="169"/>
      <c r="AR16" s="169"/>
      <c r="AS16" s="169"/>
      <c r="AT16" s="169"/>
      <c r="AU16" s="169"/>
      <c r="AV16" s="150">
        <v>-686</v>
      </c>
      <c r="AW16" s="150">
        <v>-971.25</v>
      </c>
      <c r="AX16" s="150">
        <v>-5741.5578140151783</v>
      </c>
      <c r="AY16" s="150">
        <v>-7087.4789051188927</v>
      </c>
      <c r="AZ16" s="150">
        <v>-8716.8078385423905</v>
      </c>
      <c r="BA16" s="150">
        <v>-10694.122127876961</v>
      </c>
      <c r="BB16" s="150">
        <v>-13079.72938670312</v>
      </c>
      <c r="BC16" s="4"/>
      <c r="BD16" s="150">
        <v>-1795.25</v>
      </c>
      <c r="BE16" s="150">
        <v>-1945.450321</v>
      </c>
      <c r="BF16" s="150">
        <v>-3389.0459780000001</v>
      </c>
      <c r="BG16" s="150">
        <v>-4646.4688910000004</v>
      </c>
      <c r="BH16" s="150">
        <v>-6188.2129450000002</v>
      </c>
      <c r="BI16" s="150">
        <v>-8071.9078460000001</v>
      </c>
      <c r="BJ16" s="151">
        <v>-10366.435627999999</v>
      </c>
      <c r="BK16" s="4"/>
      <c r="BL16" s="49">
        <v>-199</v>
      </c>
      <c r="BM16" s="49">
        <v>-209</v>
      </c>
      <c r="BN16" s="49">
        <v>-919.54875000000004</v>
      </c>
      <c r="BO16" s="49">
        <v>-2102.165438</v>
      </c>
      <c r="BP16" s="49">
        <v>-3932.885299</v>
      </c>
      <c r="BQ16" s="49">
        <v>-6975.1227790000003</v>
      </c>
      <c r="BR16" s="55">
        <v>-11451.086805000001</v>
      </c>
      <c r="BS16" s="4"/>
      <c r="BT16" s="150">
        <v>-551.25</v>
      </c>
      <c r="BU16" s="150">
        <v>-387.32666999999998</v>
      </c>
      <c r="BV16" s="150">
        <v>-542.54089999999997</v>
      </c>
      <c r="BW16" s="150">
        <v>-721.57950000000005</v>
      </c>
      <c r="BX16" s="159">
        <v>-927.57223777000002</v>
      </c>
      <c r="BY16" s="150">
        <v>-1164.0409199999999</v>
      </c>
      <c r="BZ16" s="151">
        <v>-1434.94768</v>
      </c>
    </row>
    <row r="17" spans="1:78" x14ac:dyDescent="0.2">
      <c r="A17" s="199" t="s">
        <v>76</v>
      </c>
      <c r="B17" s="183">
        <f>(AV17+BD17+BL17)+SUM(C17:H17)</f>
        <v>-16752</v>
      </c>
      <c r="C17" s="176">
        <f>Вводные!C23</f>
        <v>110</v>
      </c>
      <c r="D17" s="176">
        <f>Вводные!C24</f>
        <v>1100</v>
      </c>
      <c r="E17" s="176">
        <f>Вводные!C25</f>
        <v>77</v>
      </c>
      <c r="F17" s="176">
        <f>Вводные!C26</f>
        <v>22</v>
      </c>
      <c r="G17" s="176">
        <f>Вводные!C27</f>
        <v>1210</v>
      </c>
      <c r="H17" s="169"/>
      <c r="I17" s="176">
        <f>(AW17+BE17+BM17)+SUM(J17:O17)</f>
        <v>-17234.12870765799</v>
      </c>
      <c r="J17" s="183">
        <f>Вводные!C23</f>
        <v>110</v>
      </c>
      <c r="K17" s="183">
        <f>Вводные!C24</f>
        <v>1100</v>
      </c>
      <c r="L17" s="183">
        <f>Вводные!C25</f>
        <v>77</v>
      </c>
      <c r="M17" s="183">
        <f>Вводные!D26</f>
        <v>22</v>
      </c>
      <c r="N17" s="183">
        <f>Вводные!D27</f>
        <v>1210</v>
      </c>
      <c r="O17" s="177"/>
      <c r="P17" s="183">
        <f>(AX17+BF17+BN17)+SUM(Q17:U17)</f>
        <v>-10739.629653996584</v>
      </c>
      <c r="Q17" s="183">
        <f>Вводные!E23</f>
        <v>115.5</v>
      </c>
      <c r="R17" s="183">
        <f>Вводные!E24</f>
        <v>1210</v>
      </c>
      <c r="S17" s="176">
        <f>Вводные!E25</f>
        <v>88</v>
      </c>
      <c r="T17" s="176">
        <f>Вводные!E26</f>
        <v>23.1</v>
      </c>
      <c r="U17" s="176">
        <f>Вводные!E27</f>
        <v>1320</v>
      </c>
      <c r="V17" s="169"/>
      <c r="W17" s="176">
        <f>(AY17+BG17+BO17)+SUM(X17:AB17)</f>
        <v>-12189.184365457972</v>
      </c>
      <c r="X17" s="176">
        <f>Вводные!F23</f>
        <v>121</v>
      </c>
      <c r="Y17" s="176">
        <f>Вводные!F24</f>
        <v>1320</v>
      </c>
      <c r="Z17" s="176">
        <f>Вводные!F25</f>
        <v>99</v>
      </c>
      <c r="AA17" s="176">
        <f>Вводные!F26</f>
        <v>24.255000000000003</v>
      </c>
      <c r="AB17" s="176">
        <f>Вводные!F27</f>
        <v>1320</v>
      </c>
      <c r="AC17" s="176">
        <f>(AZ17+BH17+BP17)+SUM(AD17:AH17)</f>
        <v>-13908.087665721781</v>
      </c>
      <c r="AD17" s="176">
        <f>Вводные!G23</f>
        <v>126.5</v>
      </c>
      <c r="AE17" s="176">
        <f>Вводные!G24</f>
        <v>1430</v>
      </c>
      <c r="AF17" s="176">
        <f>Вводные!G25</f>
        <v>110</v>
      </c>
      <c r="AG17" s="176">
        <f>Вводные!G26</f>
        <v>25.467750000000002</v>
      </c>
      <c r="AH17" s="176">
        <f>Вводные!G27</f>
        <v>1320</v>
      </c>
      <c r="AI17" s="176">
        <f t="shared" ref="AI17" si="13">(BA17+BI17+BQ17)+SUM(AJ17:AN17)</f>
        <v>-15951.621319447258</v>
      </c>
      <c r="AJ17" s="176">
        <f>Вводные!H23</f>
        <v>132</v>
      </c>
      <c r="AK17" s="176">
        <f>Вводные!H24</f>
        <v>1540</v>
      </c>
      <c r="AL17" s="176">
        <f>Вводные!H25</f>
        <v>121</v>
      </c>
      <c r="AM17" s="176">
        <f>Вводные!H26</f>
        <v>26.741137500000004</v>
      </c>
      <c r="AN17" s="176">
        <f>Вводные!H27</f>
        <v>1320</v>
      </c>
      <c r="AO17" s="176">
        <f t="shared" ref="AO17" si="14">(BB17+BJ17+BR17)+SUM(AP17:AT17)</f>
        <v>-18387.239412741215</v>
      </c>
      <c r="AP17" s="176">
        <f>Вводные!I23</f>
        <v>137.5</v>
      </c>
      <c r="AQ17" s="176">
        <f>Вводные!I24</f>
        <v>1650</v>
      </c>
      <c r="AR17" s="176">
        <f>Вводные!I25</f>
        <v>132</v>
      </c>
      <c r="AS17" s="176">
        <f>Вводные!I26</f>
        <v>28.078194375000002</v>
      </c>
      <c r="AT17" s="176">
        <f>Вводные!I27</f>
        <v>1320</v>
      </c>
      <c r="AU17" s="169"/>
      <c r="AV17" s="49">
        <v>-8408</v>
      </c>
      <c r="AW17" s="49">
        <v>-8498.0866999999962</v>
      </c>
      <c r="AX17" s="49">
        <v>-6337.471034999995</v>
      </c>
      <c r="AY17" s="49">
        <v>-6660.0901867499979</v>
      </c>
      <c r="AZ17" s="49">
        <v>-6998.6679280874978</v>
      </c>
      <c r="BA17" s="49">
        <v>-7354.0073595318718</v>
      </c>
      <c r="BB17" s="49">
        <v>-7726.9515814972638</v>
      </c>
      <c r="BC17" s="4"/>
      <c r="BD17" s="49">
        <v>-8786</v>
      </c>
      <c r="BE17" s="49">
        <v>-8855.042007657994</v>
      </c>
      <c r="BF17" s="49">
        <v>-4287.198618996591</v>
      </c>
      <c r="BG17" s="49">
        <v>-4960.0455787079736</v>
      </c>
      <c r="BH17" s="49">
        <v>-5749.0731716342843</v>
      </c>
      <c r="BI17" s="49">
        <v>-6674.9362974553878</v>
      </c>
      <c r="BJ17" s="55">
        <v>-7761.995066411353</v>
      </c>
      <c r="BK17" s="4"/>
      <c r="BL17" s="49">
        <v>-2077</v>
      </c>
      <c r="BM17" s="49">
        <v>-2400</v>
      </c>
      <c r="BN17" s="49">
        <v>-2871.56</v>
      </c>
      <c r="BO17" s="49">
        <v>-3453.3035999999997</v>
      </c>
      <c r="BP17" s="49">
        <v>-4172.3143160000009</v>
      </c>
      <c r="BQ17" s="49">
        <v>-5062.4187999600008</v>
      </c>
      <c r="BR17" s="55">
        <v>-6165.8709592076002</v>
      </c>
      <c r="BS17" s="4"/>
      <c r="BT17" s="49">
        <v>-723</v>
      </c>
      <c r="BU17" s="49">
        <v>-797.59277777777777</v>
      </c>
      <c r="BV17" s="49">
        <v>-725.27426666666679</v>
      </c>
      <c r="BW17" s="49">
        <v>-801.92257066666673</v>
      </c>
      <c r="BX17" s="49">
        <v>-887.35328682666682</v>
      </c>
      <c r="BY17" s="49">
        <v>-982.60368923306692</v>
      </c>
      <c r="BZ17" s="55">
        <v>-1088.8348602477233</v>
      </c>
    </row>
    <row r="18" spans="1:78" x14ac:dyDescent="0.2">
      <c r="A18" s="201" t="s">
        <v>81</v>
      </c>
      <c r="B18" s="175">
        <f>B6+B13</f>
        <v>35893.75</v>
      </c>
      <c r="C18" s="169"/>
      <c r="D18" s="169"/>
      <c r="E18" s="169"/>
      <c r="F18" s="169"/>
      <c r="G18" s="169"/>
      <c r="H18" s="169"/>
      <c r="I18" s="228">
        <f>I6+I13</f>
        <v>33419.810941204094</v>
      </c>
      <c r="J18" s="177"/>
      <c r="K18" s="177"/>
      <c r="L18" s="177"/>
      <c r="M18" s="177"/>
      <c r="N18" s="177"/>
      <c r="O18" s="177"/>
      <c r="P18" s="175">
        <f>P6+P13</f>
        <v>36960.767237671011</v>
      </c>
      <c r="Q18" s="177"/>
      <c r="R18" s="169"/>
      <c r="S18" s="169"/>
      <c r="T18" s="169"/>
      <c r="U18" s="169"/>
      <c r="V18" s="169"/>
      <c r="W18" s="228">
        <f>W6+W13</f>
        <v>49938.908711851705</v>
      </c>
      <c r="X18" s="169"/>
      <c r="Y18" s="169"/>
      <c r="Z18" s="169"/>
      <c r="AA18" s="169"/>
      <c r="AB18" s="169"/>
      <c r="AC18" s="228">
        <f>AC6+AC13</f>
        <v>66104.476597454312</v>
      </c>
      <c r="AD18" s="169"/>
      <c r="AE18" s="169"/>
      <c r="AF18" s="169"/>
      <c r="AG18" s="169"/>
      <c r="AH18" s="169"/>
      <c r="AI18" s="228">
        <f>AI6+AI13</f>
        <v>87286.369876400364</v>
      </c>
      <c r="AJ18" s="169"/>
      <c r="AK18" s="169"/>
      <c r="AL18" s="169"/>
      <c r="AM18" s="169"/>
      <c r="AN18" s="169"/>
      <c r="AO18" s="228">
        <f>AO6+AO13</f>
        <v>114782.45221288927</v>
      </c>
      <c r="AP18" s="169"/>
      <c r="AQ18" s="169"/>
      <c r="AR18" s="169"/>
      <c r="AS18" s="169"/>
      <c r="AT18" s="169"/>
      <c r="AU18" s="169"/>
      <c r="AV18" s="50">
        <v>21696</v>
      </c>
      <c r="AW18" s="50">
        <v>19439.583330000009</v>
      </c>
      <c r="AX18" s="50">
        <v>19334.118442045539</v>
      </c>
      <c r="AY18" s="50">
        <v>23423.508365356669</v>
      </c>
      <c r="AZ18" s="50">
        <v>28419.425516127172</v>
      </c>
      <c r="BA18" s="50">
        <v>34464.862449115884</v>
      </c>
      <c r="BB18" s="50">
        <v>41741.015174879823</v>
      </c>
      <c r="BC18" s="4"/>
      <c r="BD18" s="50">
        <f t="shared" ref="BD18:BJ18" si="15">BD6+BD13</f>
        <v>11968.75</v>
      </c>
      <c r="BE18" s="50">
        <f t="shared" si="15"/>
        <v>12426.227611204071</v>
      </c>
      <c r="BF18" s="50">
        <f t="shared" si="15"/>
        <v>13815.882545625471</v>
      </c>
      <c r="BG18" s="50">
        <f t="shared" si="15"/>
        <v>17850.226834495021</v>
      </c>
      <c r="BH18" s="50">
        <f t="shared" si="15"/>
        <v>22755.269353327145</v>
      </c>
      <c r="BI18" s="50">
        <f t="shared" si="15"/>
        <v>28705.203708564499</v>
      </c>
      <c r="BJ18" s="56">
        <f t="shared" si="15"/>
        <v>35908.085117996205</v>
      </c>
      <c r="BK18" s="4"/>
      <c r="BL18" s="50">
        <f t="shared" ref="BL18:BR18" si="16">BL6+BL13</f>
        <v>2229</v>
      </c>
      <c r="BM18" s="50">
        <f t="shared" si="16"/>
        <v>1554</v>
      </c>
      <c r="BN18" s="50">
        <f t="shared" si="16"/>
        <v>3810.7662499999969</v>
      </c>
      <c r="BO18" s="50">
        <f t="shared" si="16"/>
        <v>8665.1735120000085</v>
      </c>
      <c r="BP18" s="50">
        <f t="shared" si="16"/>
        <v>14929.781727999994</v>
      </c>
      <c r="BQ18" s="50">
        <f t="shared" si="16"/>
        <v>24116.303718720003</v>
      </c>
      <c r="BR18" s="56">
        <f t="shared" si="16"/>
        <v>37133.351920013214</v>
      </c>
      <c r="BS18" s="4"/>
      <c r="BT18" s="50">
        <f t="shared" ref="BT18:BZ18" si="17">BT6+BT13</f>
        <v>3395.75</v>
      </c>
      <c r="BU18" s="50">
        <f t="shared" si="17"/>
        <v>2702.3136633111062</v>
      </c>
      <c r="BV18" s="50">
        <f t="shared" si="17"/>
        <v>2982.9173410888889</v>
      </c>
      <c r="BW18" s="50">
        <f t="shared" si="17"/>
        <v>3534.244925433889</v>
      </c>
      <c r="BX18" s="50">
        <f t="shared" si="17"/>
        <v>4167.003376724555</v>
      </c>
      <c r="BY18" s="50">
        <f t="shared" si="17"/>
        <v>4891.7808790178824</v>
      </c>
      <c r="BZ18" s="56">
        <f t="shared" si="17"/>
        <v>5720.4874874152156</v>
      </c>
    </row>
    <row r="19" spans="1:78" x14ac:dyDescent="0.2">
      <c r="A19" s="202"/>
      <c r="B19" s="177"/>
      <c r="C19" s="169"/>
      <c r="D19" s="169"/>
      <c r="E19" s="169"/>
      <c r="F19" s="169"/>
      <c r="G19" s="169"/>
      <c r="H19" s="169"/>
      <c r="I19" s="169"/>
      <c r="J19" s="177"/>
      <c r="K19" s="177"/>
      <c r="L19" s="177"/>
      <c r="M19" s="177"/>
      <c r="N19" s="177"/>
      <c r="O19" s="177"/>
      <c r="P19" s="177"/>
      <c r="Q19" s="177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6"/>
      <c r="AW19" s="6"/>
      <c r="AX19" s="60"/>
      <c r="AY19" s="6"/>
      <c r="AZ19" s="6"/>
      <c r="BA19" s="6"/>
      <c r="BB19" s="6"/>
      <c r="BC19" s="4"/>
      <c r="BD19" s="6"/>
      <c r="BE19" s="6"/>
      <c r="BF19" s="6"/>
      <c r="BG19" s="6"/>
      <c r="BH19" s="6"/>
      <c r="BI19" s="6"/>
      <c r="BJ19" s="6"/>
      <c r="BK19" s="4"/>
      <c r="BL19" s="6"/>
      <c r="BM19" s="6"/>
      <c r="BN19" s="6"/>
      <c r="BO19" s="6"/>
      <c r="BP19" s="6"/>
      <c r="BQ19" s="6"/>
      <c r="BR19" s="6"/>
      <c r="BS19" s="4"/>
      <c r="BT19" s="6"/>
      <c r="BU19" s="6"/>
      <c r="BV19" s="6"/>
      <c r="BW19" s="6"/>
      <c r="BX19" s="6"/>
      <c r="BY19" s="6"/>
      <c r="BZ19" s="6"/>
    </row>
    <row r="20" spans="1:78" x14ac:dyDescent="0.2">
      <c r="A20" s="198" t="s">
        <v>82</v>
      </c>
      <c r="B20" s="177"/>
      <c r="C20" s="169"/>
      <c r="D20" s="169"/>
      <c r="E20" s="169"/>
      <c r="F20" s="169"/>
      <c r="G20" s="169"/>
      <c r="H20" s="169"/>
      <c r="I20" s="176"/>
      <c r="J20" s="177"/>
      <c r="K20" s="177"/>
      <c r="L20" s="177"/>
      <c r="M20" s="177"/>
      <c r="N20" s="177"/>
      <c r="O20" s="177"/>
      <c r="Q20" s="177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76">
        <f t="shared" ref="AI20:AI23" si="18">BA20+BI20+BQ20</f>
        <v>0</v>
      </c>
      <c r="AJ20" s="169"/>
      <c r="AK20" s="169"/>
      <c r="AL20" s="169"/>
      <c r="AM20" s="169"/>
      <c r="AN20" s="169"/>
      <c r="AO20" s="176">
        <f t="shared" ref="AO20:AO23" si="19">BB20+BJ20+BR20</f>
        <v>0</v>
      </c>
      <c r="AP20" s="169"/>
      <c r="AQ20" s="169"/>
      <c r="AR20" s="169"/>
      <c r="AS20" s="169"/>
      <c r="AT20" s="169"/>
      <c r="AU20" s="169"/>
      <c r="AV20" s="1"/>
      <c r="AW20" s="1"/>
      <c r="AX20" s="1"/>
      <c r="AY20" s="1"/>
      <c r="AZ20" s="1"/>
      <c r="BA20" s="1"/>
      <c r="BB20" s="1"/>
      <c r="BC20" s="4"/>
      <c r="BD20" s="1"/>
      <c r="BE20" s="1"/>
      <c r="BF20" s="1"/>
      <c r="BG20" s="1"/>
      <c r="BH20" s="1"/>
      <c r="BI20" s="1"/>
      <c r="BJ20" s="1"/>
      <c r="BK20" s="4"/>
      <c r="BL20" s="1"/>
      <c r="BM20" s="1"/>
      <c r="BN20" s="1"/>
      <c r="BO20" s="1"/>
      <c r="BP20" s="1"/>
      <c r="BQ20" s="1"/>
      <c r="BR20" s="1"/>
      <c r="BS20" s="4"/>
      <c r="BT20" s="1"/>
      <c r="BU20" s="1"/>
      <c r="BV20" s="1"/>
      <c r="BW20" s="1"/>
      <c r="BX20" s="1"/>
      <c r="BY20" s="1"/>
      <c r="BZ20" s="1"/>
    </row>
    <row r="21" spans="1:78" x14ac:dyDescent="0.2">
      <c r="A21" s="204" t="s">
        <v>83</v>
      </c>
      <c r="B21" s="183">
        <f t="shared" ref="B21:B23" si="20">(AV21+BD21+BL21)</f>
        <v>1373</v>
      </c>
      <c r="C21" s="169"/>
      <c r="D21" s="169"/>
      <c r="E21" s="169"/>
      <c r="F21" s="169"/>
      <c r="G21" s="169"/>
      <c r="H21" s="169"/>
      <c r="I21" s="176">
        <f t="shared" ref="I21:I23" si="21">(AW21+BE21+BM21)</f>
        <v>1372.712275862069</v>
      </c>
      <c r="J21" s="177"/>
      <c r="K21" s="177"/>
      <c r="L21" s="177"/>
      <c r="M21" s="177"/>
      <c r="N21" s="177"/>
      <c r="O21" s="177"/>
      <c r="P21" s="183">
        <f t="shared" ref="P21:P23" si="22">(AX21+BF21+BN21)</f>
        <v>1372.712275862069</v>
      </c>
      <c r="Q21" s="177"/>
      <c r="R21" s="169"/>
      <c r="S21" s="169"/>
      <c r="T21" s="169"/>
      <c r="U21" s="169"/>
      <c r="V21" s="169"/>
      <c r="W21" s="176">
        <f t="shared" ref="W21:W23" si="23">(AY21+BG21+BO21)</f>
        <v>1372.712275862069</v>
      </c>
      <c r="X21" s="169"/>
      <c r="Y21" s="169"/>
      <c r="Z21" s="169"/>
      <c r="AA21" s="169"/>
      <c r="AB21" s="169"/>
      <c r="AC21" s="176">
        <f t="shared" ref="AC21:AC23" si="24">AZ21+BH21+BP21</f>
        <v>1372.712275862069</v>
      </c>
      <c r="AD21" s="169"/>
      <c r="AE21" s="169"/>
      <c r="AF21" s="169"/>
      <c r="AG21" s="169"/>
      <c r="AH21" s="169"/>
      <c r="AI21" s="176">
        <f t="shared" si="18"/>
        <v>1372.712275862069</v>
      </c>
      <c r="AJ21" s="169"/>
      <c r="AK21" s="169"/>
      <c r="AL21" s="169"/>
      <c r="AM21" s="169"/>
      <c r="AN21" s="169"/>
      <c r="AO21" s="176">
        <f t="shared" si="19"/>
        <v>1372.712275862069</v>
      </c>
      <c r="AP21" s="169"/>
      <c r="AQ21" s="169"/>
      <c r="AR21" s="169"/>
      <c r="AS21" s="169"/>
      <c r="AT21" s="169"/>
      <c r="AU21" s="169"/>
      <c r="AV21" s="49">
        <v>109</v>
      </c>
      <c r="AW21" s="49">
        <v>109</v>
      </c>
      <c r="AX21" s="49">
        <v>109</v>
      </c>
      <c r="AY21" s="49">
        <v>109</v>
      </c>
      <c r="AZ21" s="49">
        <v>109</v>
      </c>
      <c r="BA21" s="49">
        <v>109</v>
      </c>
      <c r="BB21" s="49">
        <v>109</v>
      </c>
      <c r="BC21" s="4"/>
      <c r="BD21" s="49">
        <v>469</v>
      </c>
      <c r="BE21" s="49">
        <v>468.71227586206902</v>
      </c>
      <c r="BF21" s="49">
        <v>468.71227586206902</v>
      </c>
      <c r="BG21" s="49">
        <v>468.71227586206902</v>
      </c>
      <c r="BH21" s="49">
        <v>468.71227586206902</v>
      </c>
      <c r="BI21" s="49">
        <v>468.71227586206902</v>
      </c>
      <c r="BJ21" s="55">
        <v>468.71227586206902</v>
      </c>
      <c r="BK21" s="4"/>
      <c r="BL21" s="49">
        <v>795</v>
      </c>
      <c r="BM21" s="49">
        <v>795</v>
      </c>
      <c r="BN21" s="49">
        <v>795</v>
      </c>
      <c r="BO21" s="49">
        <v>795</v>
      </c>
      <c r="BP21" s="49">
        <v>795</v>
      </c>
      <c r="BQ21" s="49">
        <v>795</v>
      </c>
      <c r="BR21" s="55">
        <v>795</v>
      </c>
      <c r="BS21" s="4"/>
      <c r="BT21" s="49">
        <v>0</v>
      </c>
      <c r="BU21" s="49">
        <v>0</v>
      </c>
      <c r="BV21" s="49">
        <v>0</v>
      </c>
      <c r="BW21" s="49">
        <v>0</v>
      </c>
      <c r="BX21" s="49">
        <v>0</v>
      </c>
      <c r="BY21" s="49">
        <v>0</v>
      </c>
      <c r="BZ21" s="55">
        <v>0</v>
      </c>
    </row>
    <row r="22" spans="1:78" x14ac:dyDescent="0.2">
      <c r="A22" s="199" t="s">
        <v>84</v>
      </c>
      <c r="B22" s="183">
        <f t="shared" si="20"/>
        <v>0</v>
      </c>
      <c r="C22" s="169"/>
      <c r="D22" s="169"/>
      <c r="E22" s="169"/>
      <c r="F22" s="169"/>
      <c r="G22" s="169"/>
      <c r="H22" s="169"/>
      <c r="I22" s="176">
        <f t="shared" si="21"/>
        <v>0</v>
      </c>
      <c r="J22" s="177"/>
      <c r="K22" s="177"/>
      <c r="L22" s="177"/>
      <c r="M22" s="177"/>
      <c r="N22" s="177"/>
      <c r="O22" s="177"/>
      <c r="P22" s="183">
        <f t="shared" si="22"/>
        <v>0</v>
      </c>
      <c r="Q22" s="177"/>
      <c r="R22" s="169"/>
      <c r="S22" s="169"/>
      <c r="T22" s="169"/>
      <c r="U22" s="169"/>
      <c r="V22" s="169"/>
      <c r="W22" s="176">
        <f t="shared" si="23"/>
        <v>0</v>
      </c>
      <c r="X22" s="169"/>
      <c r="Y22" s="169"/>
      <c r="Z22" s="169"/>
      <c r="AA22" s="169"/>
      <c r="AB22" s="169"/>
      <c r="AC22" s="176">
        <f t="shared" si="24"/>
        <v>0</v>
      </c>
      <c r="AD22" s="169"/>
      <c r="AE22" s="169"/>
      <c r="AF22" s="169"/>
      <c r="AG22" s="169"/>
      <c r="AH22" s="169"/>
      <c r="AI22" s="176">
        <f t="shared" si="18"/>
        <v>0</v>
      </c>
      <c r="AJ22" s="169"/>
      <c r="AK22" s="169"/>
      <c r="AL22" s="169"/>
      <c r="AM22" s="169"/>
      <c r="AN22" s="169"/>
      <c r="AO22" s="176">
        <f t="shared" si="19"/>
        <v>0</v>
      </c>
      <c r="AP22" s="169"/>
      <c r="AQ22" s="169"/>
      <c r="AR22" s="169"/>
      <c r="AS22" s="169"/>
      <c r="AT22" s="169"/>
      <c r="AU22" s="169"/>
      <c r="AV22" s="49">
        <v>0</v>
      </c>
      <c r="AW22" s="49">
        <v>0</v>
      </c>
      <c r="AX22" s="49">
        <v>0</v>
      </c>
      <c r="AY22" s="49">
        <v>0</v>
      </c>
      <c r="AZ22" s="49">
        <v>0</v>
      </c>
      <c r="BA22" s="49">
        <v>0</v>
      </c>
      <c r="BB22" s="49">
        <v>0</v>
      </c>
      <c r="BC22" s="4"/>
      <c r="BD22" s="49">
        <v>0</v>
      </c>
      <c r="BE22" s="49">
        <v>0</v>
      </c>
      <c r="BF22" s="49">
        <v>0</v>
      </c>
      <c r="BG22" s="49">
        <v>0</v>
      </c>
      <c r="BH22" s="49">
        <v>0</v>
      </c>
      <c r="BI22" s="49">
        <v>0</v>
      </c>
      <c r="BJ22" s="55">
        <v>0</v>
      </c>
      <c r="BK22" s="4"/>
      <c r="BL22" s="49">
        <v>0</v>
      </c>
      <c r="BM22" s="49">
        <v>0</v>
      </c>
      <c r="BN22" s="49">
        <v>0</v>
      </c>
      <c r="BO22" s="49">
        <v>0</v>
      </c>
      <c r="BP22" s="49">
        <v>0</v>
      </c>
      <c r="BQ22" s="49">
        <v>0</v>
      </c>
      <c r="BR22" s="55">
        <v>0</v>
      </c>
      <c r="BS22" s="4"/>
      <c r="BT22" s="49">
        <v>0</v>
      </c>
      <c r="BU22" s="49">
        <v>0</v>
      </c>
      <c r="BV22" s="49">
        <v>0</v>
      </c>
      <c r="BW22" s="49">
        <v>0</v>
      </c>
      <c r="BX22" s="49">
        <v>0</v>
      </c>
      <c r="BY22" s="49">
        <v>0</v>
      </c>
      <c r="BZ22" s="55">
        <v>0</v>
      </c>
    </row>
    <row r="23" spans="1:78" x14ac:dyDescent="0.2">
      <c r="A23" s="205" t="s">
        <v>85</v>
      </c>
      <c r="B23" s="183">
        <f t="shared" si="20"/>
        <v>-51</v>
      </c>
      <c r="C23" s="169"/>
      <c r="D23" s="169"/>
      <c r="E23" s="169"/>
      <c r="F23" s="169"/>
      <c r="G23" s="169"/>
      <c r="H23" s="169"/>
      <c r="I23" s="176">
        <f t="shared" si="21"/>
        <v>-51</v>
      </c>
      <c r="J23" s="177"/>
      <c r="K23" s="177"/>
      <c r="L23" s="177"/>
      <c r="M23" s="177"/>
      <c r="N23" s="177"/>
      <c r="O23" s="177"/>
      <c r="P23" s="183">
        <f t="shared" si="22"/>
        <v>-51</v>
      </c>
      <c r="Q23" s="177"/>
      <c r="R23" s="169"/>
      <c r="S23" s="169"/>
      <c r="T23" s="169"/>
      <c r="U23" s="169"/>
      <c r="V23" s="169"/>
      <c r="W23" s="176">
        <f t="shared" si="23"/>
        <v>0</v>
      </c>
      <c r="X23" s="169"/>
      <c r="Y23" s="169"/>
      <c r="Z23" s="169"/>
      <c r="AA23" s="169"/>
      <c r="AB23" s="169"/>
      <c r="AC23" s="176">
        <f t="shared" si="24"/>
        <v>0</v>
      </c>
      <c r="AD23" s="169"/>
      <c r="AE23" s="169"/>
      <c r="AF23" s="169"/>
      <c r="AG23" s="169"/>
      <c r="AH23" s="169"/>
      <c r="AI23" s="176">
        <f t="shared" si="18"/>
        <v>0</v>
      </c>
      <c r="AJ23" s="169"/>
      <c r="AK23" s="169"/>
      <c r="AL23" s="169"/>
      <c r="AM23" s="169"/>
      <c r="AN23" s="169"/>
      <c r="AO23" s="176">
        <f t="shared" si="19"/>
        <v>0</v>
      </c>
      <c r="AP23" s="169"/>
      <c r="AQ23" s="169"/>
      <c r="AR23" s="169"/>
      <c r="AS23" s="169"/>
      <c r="AT23" s="169"/>
      <c r="AU23" s="169"/>
      <c r="AV23" s="49">
        <v>-51</v>
      </c>
      <c r="AW23" s="49">
        <v>-51</v>
      </c>
      <c r="AX23" s="49">
        <v>-51</v>
      </c>
      <c r="AY23" s="49">
        <v>0</v>
      </c>
      <c r="AZ23" s="49">
        <v>0</v>
      </c>
      <c r="BA23" s="49">
        <v>0</v>
      </c>
      <c r="BB23" s="49">
        <v>0</v>
      </c>
      <c r="BC23" s="4"/>
      <c r="BD23" s="49">
        <v>0</v>
      </c>
      <c r="BE23" s="49">
        <v>0</v>
      </c>
      <c r="BF23" s="49">
        <v>0</v>
      </c>
      <c r="BG23" s="49">
        <v>0</v>
      </c>
      <c r="BH23" s="49">
        <v>0</v>
      </c>
      <c r="BI23" s="49">
        <v>0</v>
      </c>
      <c r="BJ23" s="55">
        <v>0</v>
      </c>
      <c r="BK23" s="4"/>
      <c r="BL23" s="49">
        <v>0</v>
      </c>
      <c r="BM23" s="49">
        <v>0</v>
      </c>
      <c r="BN23" s="49">
        <v>0</v>
      </c>
      <c r="BO23" s="49">
        <v>0</v>
      </c>
      <c r="BP23" s="49">
        <v>0</v>
      </c>
      <c r="BQ23" s="49">
        <v>0</v>
      </c>
      <c r="BR23" s="55">
        <v>0</v>
      </c>
      <c r="BS23" s="4"/>
      <c r="BT23" s="49">
        <v>0</v>
      </c>
      <c r="BU23" s="49">
        <v>0</v>
      </c>
      <c r="BV23" s="49">
        <v>0</v>
      </c>
      <c r="BW23" s="49">
        <v>0</v>
      </c>
      <c r="BX23" s="49">
        <v>0</v>
      </c>
      <c r="BY23" s="49">
        <v>0</v>
      </c>
      <c r="BZ23" s="55">
        <v>0</v>
      </c>
    </row>
    <row r="24" spans="1:78" x14ac:dyDescent="0.2">
      <c r="A24" s="201" t="s">
        <v>86</v>
      </c>
      <c r="B24" s="175">
        <f>SUM(B21:B23)</f>
        <v>1322</v>
      </c>
      <c r="C24" s="169"/>
      <c r="D24" s="169"/>
      <c r="E24" s="169"/>
      <c r="F24" s="169"/>
      <c r="G24" s="169"/>
      <c r="H24" s="169"/>
      <c r="I24" s="228">
        <f>SUM(I21:I23)</f>
        <v>1321.712275862069</v>
      </c>
      <c r="J24" s="177"/>
      <c r="K24" s="177"/>
      <c r="L24" s="177"/>
      <c r="M24" s="177"/>
      <c r="N24" s="177"/>
      <c r="O24" s="177"/>
      <c r="P24" s="175">
        <f>SUM(P21:P23)</f>
        <v>1321.712275862069</v>
      </c>
      <c r="Q24" s="177"/>
      <c r="R24" s="169"/>
      <c r="S24" s="169"/>
      <c r="T24" s="169"/>
      <c r="U24" s="169"/>
      <c r="V24" s="169"/>
      <c r="W24" s="228">
        <f>SUM(W21:W23)</f>
        <v>1372.712275862069</v>
      </c>
      <c r="X24" s="169"/>
      <c r="Y24" s="169"/>
      <c r="Z24" s="169"/>
      <c r="AA24" s="169"/>
      <c r="AB24" s="169"/>
      <c r="AC24" s="228">
        <f>SUM(AC21:AC23)</f>
        <v>1372.712275862069</v>
      </c>
      <c r="AD24" s="169"/>
      <c r="AE24" s="169"/>
      <c r="AF24" s="169"/>
      <c r="AG24" s="169"/>
      <c r="AH24" s="169"/>
      <c r="AI24" s="228">
        <f>SUM(AI20:AI23)</f>
        <v>1372.712275862069</v>
      </c>
      <c r="AJ24" s="169"/>
      <c r="AK24" s="169"/>
      <c r="AL24" s="169"/>
      <c r="AM24" s="169"/>
      <c r="AN24" s="169"/>
      <c r="AO24" s="228">
        <f>SUM(AO20:AO23)</f>
        <v>1372.712275862069</v>
      </c>
      <c r="AP24" s="169"/>
      <c r="AQ24" s="169"/>
      <c r="AR24" s="169"/>
      <c r="AS24" s="169"/>
      <c r="AT24" s="169"/>
      <c r="AU24" s="169"/>
      <c r="AV24" s="50">
        <v>58</v>
      </c>
      <c r="AW24" s="50">
        <v>58</v>
      </c>
      <c r="AX24" s="50">
        <v>58</v>
      </c>
      <c r="AY24" s="50">
        <v>109</v>
      </c>
      <c r="AZ24" s="50">
        <v>109</v>
      </c>
      <c r="BA24" s="50">
        <v>109</v>
      </c>
      <c r="BB24" s="50">
        <v>109</v>
      </c>
      <c r="BC24" s="4"/>
      <c r="BD24" s="50">
        <f t="shared" ref="BD24:BJ24" si="25">SUM(BD21:BD23)</f>
        <v>469</v>
      </c>
      <c r="BE24" s="50">
        <f t="shared" si="25"/>
        <v>468.71227586206902</v>
      </c>
      <c r="BF24" s="50">
        <f t="shared" si="25"/>
        <v>468.71227586206902</v>
      </c>
      <c r="BG24" s="50">
        <f t="shared" si="25"/>
        <v>468.71227586206902</v>
      </c>
      <c r="BH24" s="50">
        <f t="shared" si="25"/>
        <v>468.71227586206902</v>
      </c>
      <c r="BI24" s="50">
        <f t="shared" si="25"/>
        <v>468.71227586206902</v>
      </c>
      <c r="BJ24" s="56">
        <f t="shared" si="25"/>
        <v>468.71227586206902</v>
      </c>
      <c r="BK24" s="4"/>
      <c r="BL24" s="50">
        <f t="shared" ref="BL24:BR24" si="26">SUM(BL21:BL23)</f>
        <v>795</v>
      </c>
      <c r="BM24" s="50">
        <f t="shared" si="26"/>
        <v>795</v>
      </c>
      <c r="BN24" s="50">
        <f t="shared" si="26"/>
        <v>795</v>
      </c>
      <c r="BO24" s="50">
        <f t="shared" si="26"/>
        <v>795</v>
      </c>
      <c r="BP24" s="50">
        <f t="shared" si="26"/>
        <v>795</v>
      </c>
      <c r="BQ24" s="50">
        <f t="shared" si="26"/>
        <v>795</v>
      </c>
      <c r="BR24" s="56">
        <f t="shared" si="26"/>
        <v>795</v>
      </c>
      <c r="BS24" s="4"/>
      <c r="BT24" s="50">
        <f t="shared" ref="BT24:BZ24" si="27">SUM(BT21:BT23)</f>
        <v>0</v>
      </c>
      <c r="BU24" s="50">
        <f t="shared" si="27"/>
        <v>0</v>
      </c>
      <c r="BV24" s="50">
        <f t="shared" si="27"/>
        <v>0</v>
      </c>
      <c r="BW24" s="50">
        <f t="shared" si="27"/>
        <v>0</v>
      </c>
      <c r="BX24" s="50">
        <f t="shared" si="27"/>
        <v>0</v>
      </c>
      <c r="BY24" s="50">
        <f t="shared" si="27"/>
        <v>0</v>
      </c>
      <c r="BZ24" s="56">
        <f t="shared" si="27"/>
        <v>0</v>
      </c>
    </row>
    <row r="25" spans="1:78" x14ac:dyDescent="0.2">
      <c r="A25" s="198"/>
      <c r="B25" s="177"/>
      <c r="C25" s="169"/>
      <c r="D25" s="169"/>
      <c r="E25" s="169"/>
      <c r="F25" s="169"/>
      <c r="G25" s="169"/>
      <c r="H25" s="169"/>
      <c r="I25" s="169"/>
      <c r="J25" s="177"/>
      <c r="K25" s="177"/>
      <c r="L25" s="177"/>
      <c r="M25" s="177"/>
      <c r="N25" s="177"/>
      <c r="O25" s="177"/>
      <c r="P25" s="177"/>
      <c r="Q25" s="177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6"/>
      <c r="AW25" s="6"/>
      <c r="AX25" s="60"/>
      <c r="AY25" s="6"/>
      <c r="AZ25" s="6"/>
      <c r="BA25" s="6"/>
      <c r="BB25" s="6"/>
      <c r="BC25" s="4"/>
      <c r="BD25" s="6"/>
      <c r="BE25" s="6"/>
      <c r="BF25" s="6"/>
      <c r="BG25" s="6"/>
      <c r="BH25" s="6"/>
      <c r="BI25" s="6"/>
      <c r="BJ25" s="6"/>
      <c r="BK25" s="4"/>
      <c r="BL25" s="6"/>
      <c r="BM25" s="6"/>
      <c r="BN25" s="6"/>
      <c r="BO25" s="6"/>
      <c r="BP25" s="6"/>
      <c r="BQ25" s="6"/>
      <c r="BR25" s="6"/>
      <c r="BS25" s="4"/>
      <c r="BT25" s="6"/>
      <c r="BU25" s="6"/>
      <c r="BV25" s="6"/>
      <c r="BW25" s="6"/>
      <c r="BX25" s="6"/>
      <c r="BY25" s="6"/>
      <c r="BZ25" s="6"/>
    </row>
    <row r="26" spans="1:78" x14ac:dyDescent="0.2">
      <c r="A26" s="207"/>
      <c r="B26" s="177"/>
      <c r="C26" s="169"/>
      <c r="D26" s="169"/>
      <c r="E26" s="169"/>
      <c r="F26" s="169"/>
      <c r="G26" s="169"/>
      <c r="H26" s="169"/>
      <c r="I26" s="169"/>
      <c r="J26" s="177"/>
      <c r="K26" s="177"/>
      <c r="L26" s="177"/>
      <c r="M26" s="177"/>
      <c r="N26" s="177"/>
      <c r="O26" s="177"/>
      <c r="P26" s="177"/>
      <c r="Q26" s="177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9"/>
      <c r="AW26" s="9"/>
      <c r="AX26" s="9"/>
      <c r="AY26" s="9"/>
      <c r="AZ26" s="9"/>
      <c r="BA26" s="9"/>
      <c r="BB26" s="9"/>
      <c r="BC26" s="4"/>
      <c r="BD26" s="9"/>
      <c r="BE26" s="9"/>
      <c r="BF26" s="9"/>
      <c r="BG26" s="9"/>
      <c r="BH26" s="9"/>
      <c r="BI26" s="9"/>
      <c r="BJ26" s="9"/>
      <c r="BK26" s="4"/>
      <c r="BL26" s="9"/>
      <c r="BM26" s="9"/>
      <c r="BN26" s="9"/>
      <c r="BO26" s="9"/>
      <c r="BP26" s="9"/>
      <c r="BQ26" s="9"/>
      <c r="BR26" s="9"/>
      <c r="BS26" s="4"/>
      <c r="BT26" s="9"/>
      <c r="BU26" s="9"/>
      <c r="BV26" s="9"/>
      <c r="BW26" s="9"/>
      <c r="BX26" s="9"/>
      <c r="BY26" s="9"/>
      <c r="BZ26" s="9"/>
    </row>
    <row r="27" spans="1:78" x14ac:dyDescent="0.2">
      <c r="A27" s="198" t="s">
        <v>87</v>
      </c>
      <c r="B27" s="177"/>
      <c r="C27" s="169"/>
      <c r="D27" s="169"/>
      <c r="E27" s="169"/>
      <c r="F27" s="169"/>
      <c r="G27" s="169"/>
      <c r="H27" s="169"/>
      <c r="I27" s="169"/>
      <c r="J27" s="177"/>
      <c r="K27" s="177"/>
      <c r="L27" s="177"/>
      <c r="M27" s="177"/>
      <c r="N27" s="177"/>
      <c r="O27" s="177"/>
      <c r="P27" s="177"/>
      <c r="Q27" s="177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69"/>
      <c r="AS27" s="169"/>
      <c r="AT27" s="169"/>
      <c r="AU27" s="169"/>
      <c r="AV27" s="6"/>
      <c r="AW27" s="6"/>
      <c r="AX27" s="6"/>
      <c r="AY27" s="6"/>
      <c r="AZ27" s="6"/>
      <c r="BA27" s="6"/>
      <c r="BB27" s="6"/>
      <c r="BC27" s="4"/>
      <c r="BD27" s="6"/>
      <c r="BE27" s="6"/>
      <c r="BF27" s="6"/>
      <c r="BG27" s="6"/>
      <c r="BH27" s="6"/>
      <c r="BI27" s="6"/>
      <c r="BJ27" s="6"/>
      <c r="BK27" s="4"/>
      <c r="BL27" s="6"/>
      <c r="BM27" s="6"/>
      <c r="BN27" s="6"/>
      <c r="BO27" s="6"/>
      <c r="BP27" s="6"/>
      <c r="BQ27" s="6"/>
      <c r="BR27" s="6"/>
      <c r="BS27" s="4"/>
      <c r="BT27" s="6"/>
      <c r="BU27" s="6"/>
      <c r="BV27" s="6"/>
      <c r="BW27" s="6"/>
      <c r="BX27" s="6"/>
      <c r="BY27" s="6"/>
      <c r="BZ27" s="6"/>
    </row>
    <row r="28" spans="1:78" x14ac:dyDescent="0.2">
      <c r="A28" s="204" t="s">
        <v>88</v>
      </c>
      <c r="B28" s="183">
        <f>(AV28+BD28+BL28)+H28</f>
        <v>0</v>
      </c>
      <c r="C28" s="169"/>
      <c r="D28" s="169"/>
      <c r="E28" s="169"/>
      <c r="F28" s="169"/>
      <c r="G28" s="169"/>
      <c r="H28" s="176">
        <f>-Вводные!C32</f>
        <v>-600</v>
      </c>
      <c r="I28" s="176">
        <f>(AW28+BE28+BM28)+O28</f>
        <v>0</v>
      </c>
      <c r="J28" s="177"/>
      <c r="K28" s="177"/>
      <c r="L28" s="177"/>
      <c r="M28" s="177"/>
      <c r="N28" s="177"/>
      <c r="O28" s="183">
        <f>-Вводные!D33</f>
        <v>-600</v>
      </c>
      <c r="P28" s="183">
        <f>(AX28+BF28+BN28)+V28</f>
        <v>0</v>
      </c>
      <c r="Q28" s="177"/>
      <c r="R28" s="169"/>
      <c r="S28" s="169"/>
      <c r="T28" s="169"/>
      <c r="V28" s="176">
        <f>-Вводные!E32</f>
        <v>-600</v>
      </c>
      <c r="W28" s="176">
        <f t="shared" ref="W28:W31" si="28">(AY28+BG28+BO28)</f>
        <v>0</v>
      </c>
      <c r="X28" s="169"/>
      <c r="Y28" s="169"/>
      <c r="Z28" s="169"/>
      <c r="AA28" s="169"/>
      <c r="AB28" s="169"/>
      <c r="AC28" s="176">
        <f t="shared" ref="AC28:AC31" si="29">AZ28+BH28+BP28</f>
        <v>0</v>
      </c>
      <c r="AD28" s="169"/>
      <c r="AE28" s="169"/>
      <c r="AF28" s="169"/>
      <c r="AG28" s="169"/>
      <c r="AH28" s="169"/>
      <c r="AI28" s="176">
        <f t="shared" ref="AI28:AI31" si="30">BA28+BI28+BQ28</f>
        <v>0</v>
      </c>
      <c r="AJ28" s="169"/>
      <c r="AK28" s="169"/>
      <c r="AL28" s="169"/>
      <c r="AM28" s="169"/>
      <c r="AN28" s="169"/>
      <c r="AO28" s="176">
        <f t="shared" ref="AO28:AO31" si="31">BB28+BJ28+BR28</f>
        <v>0</v>
      </c>
      <c r="AP28" s="169"/>
      <c r="AQ28" s="169"/>
      <c r="AR28" s="169"/>
      <c r="AS28" s="169"/>
      <c r="AT28" s="169"/>
      <c r="AU28" s="169"/>
      <c r="AV28" s="150">
        <v>600</v>
      </c>
      <c r="AW28" s="150">
        <v>600</v>
      </c>
      <c r="AX28" s="150">
        <v>600</v>
      </c>
      <c r="AY28" s="155">
        <v>0</v>
      </c>
      <c r="AZ28" s="155">
        <v>0</v>
      </c>
      <c r="BA28" s="155">
        <v>0</v>
      </c>
      <c r="BB28" s="155">
        <v>0</v>
      </c>
      <c r="BC28" s="4"/>
      <c r="BD28" s="155">
        <v>0</v>
      </c>
      <c r="BE28" s="155">
        <v>0</v>
      </c>
      <c r="BF28" s="155">
        <v>0</v>
      </c>
      <c r="BG28" s="155">
        <v>0</v>
      </c>
      <c r="BH28" s="155">
        <v>0</v>
      </c>
      <c r="BI28" s="155">
        <v>0</v>
      </c>
      <c r="BJ28" s="156">
        <v>0</v>
      </c>
      <c r="BK28" s="4"/>
      <c r="BL28" s="49">
        <v>0</v>
      </c>
      <c r="BM28" s="49">
        <v>0</v>
      </c>
      <c r="BN28" s="49">
        <v>0</v>
      </c>
      <c r="BO28" s="49">
        <v>0</v>
      </c>
      <c r="BP28" s="49">
        <v>0</v>
      </c>
      <c r="BQ28" s="49">
        <v>0</v>
      </c>
      <c r="BR28" s="55">
        <v>0</v>
      </c>
      <c r="BS28" s="4"/>
      <c r="BT28" s="49">
        <v>0</v>
      </c>
      <c r="BU28" s="49">
        <v>0</v>
      </c>
      <c r="BV28" s="49">
        <v>0</v>
      </c>
      <c r="BW28" s="49">
        <v>0</v>
      </c>
      <c r="BX28" s="49">
        <v>0</v>
      </c>
      <c r="BY28" s="49">
        <v>0</v>
      </c>
      <c r="BZ28" s="55">
        <v>0</v>
      </c>
    </row>
    <row r="29" spans="1:78" x14ac:dyDescent="0.2">
      <c r="A29" s="204" t="s">
        <v>89</v>
      </c>
      <c r="B29" s="183">
        <f>(AV29+BD29+BL29)</f>
        <v>-2191</v>
      </c>
      <c r="C29" s="169"/>
      <c r="D29" s="169"/>
      <c r="E29" s="169"/>
      <c r="F29" s="169"/>
      <c r="G29" s="169"/>
      <c r="H29" s="169"/>
      <c r="I29" s="176">
        <f>(AW29+BE29+BM29)</f>
        <v>-2190.7038350000003</v>
      </c>
      <c r="J29" s="177"/>
      <c r="K29" s="177"/>
      <c r="L29" s="177"/>
      <c r="M29" s="177"/>
      <c r="N29" s="177"/>
      <c r="O29" s="177"/>
      <c r="P29" s="183">
        <f>(AX29+BF29+BN29)</f>
        <v>-2309.618379</v>
      </c>
      <c r="Q29" s="177"/>
      <c r="R29" s="169"/>
      <c r="S29" s="169"/>
      <c r="T29" s="169"/>
      <c r="U29" s="169"/>
      <c r="V29" s="169"/>
      <c r="W29" s="176">
        <f t="shared" si="28"/>
        <v>-2435.0219649999999</v>
      </c>
      <c r="X29" s="169"/>
      <c r="Y29" s="169"/>
      <c r="Z29" s="169"/>
      <c r="AA29" s="169"/>
      <c r="AB29" s="169"/>
      <c r="AC29" s="176">
        <f t="shared" si="29"/>
        <v>-2567.2705695</v>
      </c>
      <c r="AD29" s="169"/>
      <c r="AE29" s="169"/>
      <c r="AF29" s="169"/>
      <c r="AG29" s="169"/>
      <c r="AH29" s="169"/>
      <c r="AI29" s="176">
        <f t="shared" si="30"/>
        <v>-2706.7398176249999</v>
      </c>
      <c r="AJ29" s="169"/>
      <c r="AK29" s="169"/>
      <c r="AL29" s="169"/>
      <c r="AM29" s="169"/>
      <c r="AN29" s="169"/>
      <c r="AO29" s="176">
        <f t="shared" si="31"/>
        <v>-2853.8260324062503</v>
      </c>
      <c r="AP29" s="169"/>
      <c r="AQ29" s="169"/>
      <c r="AR29" s="169"/>
      <c r="AS29" s="169"/>
      <c r="AT29" s="169"/>
      <c r="AU29" s="169"/>
      <c r="AV29" s="150">
        <v>-864</v>
      </c>
      <c r="AW29" s="150">
        <v>-863.83333300000004</v>
      </c>
      <c r="AX29" s="150">
        <v>-907.02499999999986</v>
      </c>
      <c r="AY29" s="150">
        <v>-952.37624999999991</v>
      </c>
      <c r="AZ29" s="150">
        <v>-999.9950624999999</v>
      </c>
      <c r="BA29" s="150">
        <v>-1049.994815625</v>
      </c>
      <c r="BB29" s="150">
        <v>-1102.49455640625</v>
      </c>
      <c r="BC29" s="4"/>
      <c r="BD29" s="150">
        <v>-778</v>
      </c>
      <c r="BE29" s="150">
        <v>-777.87050199999999</v>
      </c>
      <c r="BF29" s="150">
        <v>-820.65337899999997</v>
      </c>
      <c r="BG29" s="150">
        <v>-865.78931499999999</v>
      </c>
      <c r="BH29" s="150">
        <v>-913.40772700000002</v>
      </c>
      <c r="BI29" s="150">
        <v>-963.64515200000005</v>
      </c>
      <c r="BJ29" s="150">
        <v>-1016.645636</v>
      </c>
      <c r="BK29" s="4"/>
      <c r="BL29" s="150">
        <v>-549</v>
      </c>
      <c r="BM29" s="150">
        <v>-549</v>
      </c>
      <c r="BN29" s="150">
        <v>-581.94000000000005</v>
      </c>
      <c r="BO29" s="150">
        <v>-616.85640000000001</v>
      </c>
      <c r="BP29" s="150">
        <v>-653.86778000000004</v>
      </c>
      <c r="BQ29" s="150">
        <v>-693.09984999999995</v>
      </c>
      <c r="BR29" s="151">
        <v>-734.68583999999998</v>
      </c>
      <c r="BS29" s="4"/>
      <c r="BT29" s="150">
        <v>-200</v>
      </c>
      <c r="BU29" s="150">
        <v>-200</v>
      </c>
      <c r="BV29" s="150">
        <v>-208</v>
      </c>
      <c r="BW29" s="150">
        <v>-216.32</v>
      </c>
      <c r="BX29" s="150">
        <v>-224.97280000000001</v>
      </c>
      <c r="BY29" s="150">
        <v>-233.971712</v>
      </c>
      <c r="BZ29" s="150">
        <v>-243.33058</v>
      </c>
    </row>
    <row r="30" spans="1:78" x14ac:dyDescent="0.2">
      <c r="A30" s="204" t="s">
        <v>90</v>
      </c>
      <c r="B30" s="183">
        <f>(AV30+BD30+BL30)+H30</f>
        <v>-1154</v>
      </c>
      <c r="C30" s="169"/>
      <c r="D30" s="169"/>
      <c r="E30" s="169"/>
      <c r="F30" s="169"/>
      <c r="G30" s="169"/>
      <c r="H30" s="176">
        <f>Вводные!C33</f>
        <v>600</v>
      </c>
      <c r="I30" s="176">
        <f>(AW30+BE30+BM30)+O30</f>
        <v>-1154</v>
      </c>
      <c r="J30" s="177"/>
      <c r="K30" s="177"/>
      <c r="L30" s="177"/>
      <c r="M30" s="177"/>
      <c r="N30" s="177"/>
      <c r="O30" s="183">
        <f>Вводные!D32</f>
        <v>600</v>
      </c>
      <c r="P30" s="183">
        <f>(AX30+BF30+BN30)+V30</f>
        <v>-1154</v>
      </c>
      <c r="Q30" s="177"/>
      <c r="R30" s="169"/>
      <c r="S30" s="169"/>
      <c r="T30" s="169"/>
      <c r="U30" s="169"/>
      <c r="V30" s="176">
        <f>Вводные!E32</f>
        <v>600</v>
      </c>
      <c r="W30" s="176">
        <f t="shared" si="28"/>
        <v>0</v>
      </c>
      <c r="X30" s="169"/>
      <c r="Y30" s="169"/>
      <c r="Z30" s="169"/>
      <c r="AA30" s="169"/>
      <c r="AB30" s="169"/>
      <c r="AC30" s="176">
        <f t="shared" si="29"/>
        <v>0</v>
      </c>
      <c r="AD30" s="169"/>
      <c r="AE30" s="169"/>
      <c r="AF30" s="169"/>
      <c r="AG30" s="169"/>
      <c r="AH30" s="169"/>
      <c r="AI30" s="176">
        <f t="shared" si="30"/>
        <v>0</v>
      </c>
      <c r="AJ30" s="169"/>
      <c r="AK30" s="169"/>
      <c r="AL30" s="169"/>
      <c r="AM30" s="169"/>
      <c r="AN30" s="169"/>
      <c r="AO30" s="176">
        <f t="shared" si="31"/>
        <v>0</v>
      </c>
      <c r="AP30" s="169"/>
      <c r="AQ30" s="169"/>
      <c r="AR30" s="169"/>
      <c r="AS30" s="169"/>
      <c r="AT30" s="169"/>
      <c r="AU30" s="169"/>
      <c r="AV30" s="150">
        <v>-1154</v>
      </c>
      <c r="AW30" s="150">
        <v>-1154</v>
      </c>
      <c r="AX30" s="150">
        <v>-1154</v>
      </c>
      <c r="AY30" s="150">
        <v>0</v>
      </c>
      <c r="AZ30" s="150">
        <v>0</v>
      </c>
      <c r="BA30" s="150">
        <v>0</v>
      </c>
      <c r="BB30" s="150">
        <v>0</v>
      </c>
      <c r="BC30" s="4"/>
      <c r="BD30" s="150">
        <v>0</v>
      </c>
      <c r="BE30" s="150">
        <v>0</v>
      </c>
      <c r="BF30" s="150">
        <v>0</v>
      </c>
      <c r="BG30" s="150">
        <v>0</v>
      </c>
      <c r="BH30" s="150">
        <v>0</v>
      </c>
      <c r="BI30" s="150">
        <v>0</v>
      </c>
      <c r="BJ30" s="150">
        <v>0</v>
      </c>
      <c r="BK30" s="4"/>
      <c r="BL30" s="150">
        <v>-600</v>
      </c>
      <c r="BM30" s="150">
        <v>-600</v>
      </c>
      <c r="BN30" s="150">
        <v>-600</v>
      </c>
      <c r="BO30" s="150">
        <v>0</v>
      </c>
      <c r="BP30" s="150">
        <v>0</v>
      </c>
      <c r="BQ30" s="150">
        <v>0</v>
      </c>
      <c r="BR30" s="151">
        <v>0</v>
      </c>
      <c r="BS30" s="4"/>
      <c r="BT30" s="150">
        <v>0</v>
      </c>
      <c r="BU30" s="150">
        <v>0</v>
      </c>
      <c r="BV30" s="150">
        <v>0</v>
      </c>
      <c r="BW30" s="150">
        <v>0</v>
      </c>
      <c r="BX30" s="150">
        <v>0</v>
      </c>
      <c r="BY30" s="150">
        <v>0</v>
      </c>
      <c r="BZ30" s="150">
        <v>0</v>
      </c>
    </row>
    <row r="31" spans="1:78" x14ac:dyDescent="0.2">
      <c r="A31" s="204" t="s">
        <v>91</v>
      </c>
      <c r="B31" s="183">
        <f>(AV31+BD31+BL31)</f>
        <v>-7000</v>
      </c>
      <c r="C31" s="169"/>
      <c r="D31" s="169"/>
      <c r="E31" s="169"/>
      <c r="F31" s="169"/>
      <c r="G31" s="169"/>
      <c r="H31" s="169"/>
      <c r="I31" s="176">
        <f>(AW31+BE31+BM31)</f>
        <v>-10000</v>
      </c>
      <c r="J31" s="177"/>
      <c r="K31" s="177"/>
      <c r="L31" s="177"/>
      <c r="M31" s="177"/>
      <c r="N31" s="177"/>
      <c r="O31" s="177"/>
      <c r="P31" s="183">
        <f>(AX31+BF31+BN31)</f>
        <v>-22000</v>
      </c>
      <c r="Q31" s="177"/>
      <c r="R31" s="169"/>
      <c r="S31" s="169"/>
      <c r="T31" s="169"/>
      <c r="U31" s="169"/>
      <c r="V31" s="169"/>
      <c r="W31" s="176">
        <f t="shared" si="28"/>
        <v>-30000</v>
      </c>
      <c r="X31" s="169"/>
      <c r="Y31" s="169"/>
      <c r="Z31" s="169"/>
      <c r="AA31" s="169"/>
      <c r="AB31" s="169"/>
      <c r="AC31" s="176">
        <f t="shared" si="29"/>
        <v>-45000</v>
      </c>
      <c r="AD31" s="169"/>
      <c r="AE31" s="169"/>
      <c r="AF31" s="169"/>
      <c r="AG31" s="169"/>
      <c r="AH31" s="169"/>
      <c r="AI31" s="176">
        <f t="shared" si="30"/>
        <v>-68000</v>
      </c>
      <c r="AJ31" s="169"/>
      <c r="AK31" s="169"/>
      <c r="AL31" s="169"/>
      <c r="AM31" s="169"/>
      <c r="AN31" s="169"/>
      <c r="AO31" s="176">
        <f t="shared" si="31"/>
        <v>-97000</v>
      </c>
      <c r="AP31" s="169"/>
      <c r="AQ31" s="169"/>
      <c r="AR31" s="169"/>
      <c r="AS31" s="169"/>
      <c r="AT31" s="169"/>
      <c r="AU31" s="169"/>
      <c r="AV31" s="150">
        <v>-7000</v>
      </c>
      <c r="AW31" s="150">
        <v>-10000</v>
      </c>
      <c r="AX31" s="150">
        <v>-16000</v>
      </c>
      <c r="AY31" s="150">
        <v>-20000</v>
      </c>
      <c r="AZ31" s="150">
        <v>-25000</v>
      </c>
      <c r="BA31" s="150">
        <v>-32000</v>
      </c>
      <c r="BB31" s="150">
        <v>-39000</v>
      </c>
      <c r="BC31" s="4"/>
      <c r="BD31" s="150">
        <v>0</v>
      </c>
      <c r="BE31" s="150">
        <v>0</v>
      </c>
      <c r="BF31" s="150">
        <v>-6000</v>
      </c>
      <c r="BG31" s="150">
        <v>-10000</v>
      </c>
      <c r="BH31" s="150">
        <v>-16000</v>
      </c>
      <c r="BI31" s="150">
        <v>-22000</v>
      </c>
      <c r="BJ31" s="150">
        <v>-29000</v>
      </c>
      <c r="BK31" s="4"/>
      <c r="BL31" s="150">
        <v>0</v>
      </c>
      <c r="BM31" s="150">
        <v>0</v>
      </c>
      <c r="BN31" s="150">
        <v>0</v>
      </c>
      <c r="BO31" s="150">
        <v>0</v>
      </c>
      <c r="BP31" s="150">
        <v>-4000</v>
      </c>
      <c r="BQ31" s="150">
        <v>-14000</v>
      </c>
      <c r="BR31" s="151">
        <v>-29000</v>
      </c>
      <c r="BS31" s="4"/>
      <c r="BT31" s="150">
        <v>0</v>
      </c>
      <c r="BU31" s="150">
        <v>0</v>
      </c>
      <c r="BV31" s="150">
        <v>0</v>
      </c>
      <c r="BW31" s="150">
        <v>0</v>
      </c>
      <c r="BX31" s="150">
        <v>0</v>
      </c>
      <c r="BY31" s="150">
        <v>0</v>
      </c>
      <c r="BZ31" s="150">
        <v>-1000</v>
      </c>
    </row>
    <row r="32" spans="1:78" x14ac:dyDescent="0.2">
      <c r="A32" s="200" t="s">
        <v>92</v>
      </c>
      <c r="B32" s="175">
        <f>SUM(B28:B31)</f>
        <v>-10345</v>
      </c>
      <c r="C32" s="169"/>
      <c r="D32" s="169"/>
      <c r="E32" s="169"/>
      <c r="F32" s="169"/>
      <c r="G32" s="169"/>
      <c r="H32" s="169"/>
      <c r="I32" s="228">
        <f>SUM(I28:I31)</f>
        <v>-13344.703835</v>
      </c>
      <c r="J32" s="177"/>
      <c r="K32" s="177"/>
      <c r="L32" s="177"/>
      <c r="M32" s="177"/>
      <c r="N32" s="177"/>
      <c r="O32" s="177"/>
      <c r="P32" s="175">
        <f>SUM(P28:P31)</f>
        <v>-25463.618379</v>
      </c>
      <c r="Q32" s="177"/>
      <c r="R32" s="169"/>
      <c r="S32" s="169"/>
      <c r="T32" s="169"/>
      <c r="U32" s="169"/>
      <c r="V32" s="169"/>
      <c r="W32" s="228">
        <f>SUM(W28:W31)</f>
        <v>-32435.021965</v>
      </c>
      <c r="X32" s="169"/>
      <c r="Y32" s="169"/>
      <c r="Z32" s="169"/>
      <c r="AA32" s="169"/>
      <c r="AB32" s="169"/>
      <c r="AC32" s="228">
        <f>SUM(AC28:AC31)</f>
        <v>-47567.270569499997</v>
      </c>
      <c r="AD32" s="169"/>
      <c r="AE32" s="169"/>
      <c r="AF32" s="169"/>
      <c r="AG32" s="169"/>
      <c r="AH32" s="169"/>
      <c r="AI32" s="228">
        <f>SUM(AI28:AI31)</f>
        <v>-70706.739817624999</v>
      </c>
      <c r="AJ32" s="169"/>
      <c r="AK32" s="169"/>
      <c r="AL32" s="169"/>
      <c r="AM32" s="169"/>
      <c r="AN32" s="169"/>
      <c r="AO32" s="228">
        <f>SUM(AO28:AO31)</f>
        <v>-99853.826032406243</v>
      </c>
      <c r="AP32" s="169"/>
      <c r="AQ32" s="169"/>
      <c r="AR32" s="169"/>
      <c r="AS32" s="169"/>
      <c r="AT32" s="169"/>
      <c r="AU32" s="169"/>
      <c r="AV32" s="72">
        <v>-8418</v>
      </c>
      <c r="AW32" s="72">
        <v>-11417.833333</v>
      </c>
      <c r="AX32" s="7">
        <v>-17461.025000000001</v>
      </c>
      <c r="AY32" s="7">
        <v>-20952.376250000001</v>
      </c>
      <c r="AZ32" s="7">
        <v>-25999.995062499998</v>
      </c>
      <c r="BA32" s="7">
        <v>-33049.994815625003</v>
      </c>
      <c r="BB32" s="7">
        <v>-40102.494556406251</v>
      </c>
      <c r="BC32" s="4"/>
      <c r="BD32" s="48">
        <f t="shared" ref="BD32:BJ32" si="32">SUM(BD28:BD31)</f>
        <v>-778</v>
      </c>
      <c r="BE32" s="48">
        <f t="shared" si="32"/>
        <v>-777.87050199999999</v>
      </c>
      <c r="BF32" s="7">
        <f t="shared" si="32"/>
        <v>-6820.6533790000003</v>
      </c>
      <c r="BG32" s="7">
        <f t="shared" si="32"/>
        <v>-10865.789315</v>
      </c>
      <c r="BH32" s="7">
        <f t="shared" si="32"/>
        <v>-16913.407727000002</v>
      </c>
      <c r="BI32" s="7">
        <f t="shared" si="32"/>
        <v>-22963.645152000001</v>
      </c>
      <c r="BJ32" s="7">
        <f t="shared" si="32"/>
        <v>-30016.645636000001</v>
      </c>
      <c r="BK32" s="4"/>
      <c r="BL32" s="72">
        <f t="shared" ref="BL32:BR32" si="33">SUM(BL28:BL31)</f>
        <v>-1149</v>
      </c>
      <c r="BM32" s="72">
        <f t="shared" si="33"/>
        <v>-1149</v>
      </c>
      <c r="BN32" s="7">
        <f t="shared" si="33"/>
        <v>-1181.94</v>
      </c>
      <c r="BO32" s="7">
        <f t="shared" si="33"/>
        <v>-616.85640000000001</v>
      </c>
      <c r="BP32" s="7">
        <f t="shared" si="33"/>
        <v>-4653.8677800000005</v>
      </c>
      <c r="BQ32" s="7">
        <f t="shared" si="33"/>
        <v>-14693.099850000001</v>
      </c>
      <c r="BR32" s="7">
        <f t="shared" si="33"/>
        <v>-29734.685839999998</v>
      </c>
      <c r="BS32" s="4"/>
      <c r="BT32" s="72">
        <f t="shared" ref="BT32:BZ32" si="34">SUM(BT28:BT31)</f>
        <v>-200</v>
      </c>
      <c r="BU32" s="72">
        <f t="shared" si="34"/>
        <v>-200</v>
      </c>
      <c r="BV32" s="7">
        <f t="shared" si="34"/>
        <v>-208</v>
      </c>
      <c r="BW32" s="7">
        <f t="shared" si="34"/>
        <v>-216.32</v>
      </c>
      <c r="BX32" s="7">
        <f t="shared" si="34"/>
        <v>-224.97280000000001</v>
      </c>
      <c r="BY32" s="7">
        <f t="shared" si="34"/>
        <v>-233.971712</v>
      </c>
      <c r="BZ32" s="7">
        <f t="shared" si="34"/>
        <v>-1243.3305800000001</v>
      </c>
    </row>
    <row r="33" spans="1:78" x14ac:dyDescent="0.2">
      <c r="A33" s="200" t="s">
        <v>93</v>
      </c>
      <c r="B33" s="175">
        <f>B18+B24+B32</f>
        <v>26870.75</v>
      </c>
      <c r="C33" s="169"/>
      <c r="D33" s="169"/>
      <c r="E33" s="169"/>
      <c r="F33" s="169"/>
      <c r="G33" s="169"/>
      <c r="H33" s="169"/>
      <c r="I33" s="228">
        <f>I18+I24+I32</f>
        <v>21396.819382066162</v>
      </c>
      <c r="J33" s="177"/>
      <c r="K33" s="177"/>
      <c r="L33" s="177"/>
      <c r="M33" s="177"/>
      <c r="N33" s="177"/>
      <c r="O33" s="177"/>
      <c r="P33" s="175">
        <f>P18+P24+P32</f>
        <v>12818.861134533079</v>
      </c>
      <c r="Q33" s="177"/>
      <c r="R33" s="169"/>
      <c r="S33" s="169"/>
      <c r="T33" s="169"/>
      <c r="U33" s="169"/>
      <c r="V33" s="169"/>
      <c r="W33" s="228">
        <f>W18+W24+W32</f>
        <v>18876.599022713774</v>
      </c>
      <c r="X33" s="169"/>
      <c r="Y33" s="169"/>
      <c r="Z33" s="169"/>
      <c r="AA33" s="169"/>
      <c r="AB33" s="169"/>
      <c r="AC33" s="228">
        <f>AC18+AC24+AC32</f>
        <v>19909.918303816383</v>
      </c>
      <c r="AD33" s="169"/>
      <c r="AE33" s="169"/>
      <c r="AF33" s="169"/>
      <c r="AG33" s="169"/>
      <c r="AH33" s="169"/>
      <c r="AI33" s="228">
        <f>AI18+AI24+AI32</f>
        <v>17952.342334637433</v>
      </c>
      <c r="AJ33" s="169"/>
      <c r="AK33" s="169"/>
      <c r="AL33" s="169"/>
      <c r="AM33" s="169"/>
      <c r="AN33" s="169"/>
      <c r="AO33" s="228">
        <f>AO18+AO24+AO32</f>
        <v>16301.338456345096</v>
      </c>
      <c r="AP33" s="169"/>
      <c r="AQ33" s="169"/>
      <c r="AR33" s="169"/>
      <c r="AS33" s="169"/>
      <c r="AT33" s="169"/>
      <c r="AU33" s="169"/>
      <c r="AV33" s="48">
        <v>13336</v>
      </c>
      <c r="AW33" s="48">
        <v>8079.7499970000081</v>
      </c>
      <c r="AX33" s="48">
        <v>1931.0934420455378</v>
      </c>
      <c r="AY33" s="48">
        <v>2580.1321153566678</v>
      </c>
      <c r="AZ33" s="48">
        <v>2528.4304536271738</v>
      </c>
      <c r="BA33" s="48">
        <v>1523.8676334908814</v>
      </c>
      <c r="BB33" s="48">
        <v>1747.5206184735725</v>
      </c>
      <c r="BC33" s="4"/>
      <c r="BD33" s="48">
        <f t="shared" ref="BD33:BJ33" si="35">BD18+BD24+BD32</f>
        <v>11659.75</v>
      </c>
      <c r="BE33" s="48">
        <f t="shared" si="35"/>
        <v>12117.069385066141</v>
      </c>
      <c r="BF33" s="48">
        <f t="shared" si="35"/>
        <v>7463.9414424875404</v>
      </c>
      <c r="BG33" s="48">
        <f t="shared" si="35"/>
        <v>7453.1497953570888</v>
      </c>
      <c r="BH33" s="48">
        <f t="shared" si="35"/>
        <v>6310.5739021892114</v>
      </c>
      <c r="BI33" s="48">
        <f t="shared" si="35"/>
        <v>6210.2708324265659</v>
      </c>
      <c r="BJ33" s="54">
        <f t="shared" si="35"/>
        <v>6360.1517578582716</v>
      </c>
      <c r="BK33" s="4"/>
      <c r="BL33" s="48">
        <f t="shared" ref="BL33:BR33" si="36">BL18+BL24+BL32</f>
        <v>1875</v>
      </c>
      <c r="BM33" s="48">
        <f t="shared" si="36"/>
        <v>1200</v>
      </c>
      <c r="BN33" s="48">
        <f t="shared" si="36"/>
        <v>3423.8262499999969</v>
      </c>
      <c r="BO33" s="48">
        <f t="shared" si="36"/>
        <v>8843.3171120000079</v>
      </c>
      <c r="BP33" s="48">
        <f t="shared" si="36"/>
        <v>11070.913947999994</v>
      </c>
      <c r="BQ33" s="48">
        <f t="shared" si="36"/>
        <v>10218.203868720002</v>
      </c>
      <c r="BR33" s="54">
        <f t="shared" si="36"/>
        <v>8193.6660800132158</v>
      </c>
      <c r="BS33" s="4"/>
      <c r="BT33" s="48">
        <f t="shared" ref="BT33:BZ33" si="37">BT18+BT24+BT32</f>
        <v>3195.75</v>
      </c>
      <c r="BU33" s="48">
        <f t="shared" si="37"/>
        <v>2502.3136633111062</v>
      </c>
      <c r="BV33" s="48">
        <f t="shared" si="37"/>
        <v>2774.9173410888889</v>
      </c>
      <c r="BW33" s="48">
        <f t="shared" si="37"/>
        <v>3317.9249254338888</v>
      </c>
      <c r="BX33" s="48">
        <f t="shared" si="37"/>
        <v>3942.030576724555</v>
      </c>
      <c r="BY33" s="48">
        <f t="shared" si="37"/>
        <v>4657.8091670178828</v>
      </c>
      <c r="BZ33" s="54">
        <f t="shared" si="37"/>
        <v>4477.1569074152158</v>
      </c>
    </row>
    <row r="34" spans="1:78" x14ac:dyDescent="0.2">
      <c r="A34" s="208"/>
      <c r="B34" s="177"/>
      <c r="C34" s="169"/>
      <c r="D34" s="169"/>
      <c r="E34" s="169"/>
      <c r="F34" s="169"/>
      <c r="G34" s="169"/>
      <c r="H34" s="169"/>
      <c r="I34" s="169"/>
      <c r="J34" s="177"/>
      <c r="K34" s="177"/>
      <c r="L34" s="177"/>
      <c r="M34" s="177"/>
      <c r="N34" s="177"/>
      <c r="O34" s="177"/>
      <c r="P34" s="177"/>
      <c r="Q34" s="177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  <c r="AQ34" s="169"/>
      <c r="AR34" s="169"/>
      <c r="AS34" s="169"/>
      <c r="AT34" s="169"/>
      <c r="AU34" s="169"/>
      <c r="AV34" s="1"/>
      <c r="AW34" s="1"/>
      <c r="AX34" s="9"/>
      <c r="AY34" s="1"/>
      <c r="AZ34" s="1"/>
      <c r="BA34" s="1"/>
      <c r="BB34" s="1"/>
      <c r="BC34" s="4"/>
      <c r="BD34" s="1"/>
      <c r="BE34" s="1"/>
      <c r="BF34" s="1"/>
      <c r="BG34" s="1"/>
      <c r="BH34" s="1"/>
      <c r="BI34" s="1"/>
      <c r="BJ34" s="1"/>
      <c r="BK34" s="4"/>
      <c r="BL34" s="1"/>
      <c r="BM34" s="1"/>
      <c r="BN34" s="1"/>
      <c r="BO34" s="1"/>
      <c r="BP34" s="1"/>
      <c r="BQ34" s="1"/>
      <c r="BR34" s="1"/>
      <c r="BS34" s="4"/>
      <c r="BT34" s="1"/>
      <c r="BU34" s="1"/>
      <c r="BV34" s="1"/>
      <c r="BW34" s="1"/>
      <c r="BX34" s="1"/>
      <c r="BY34" s="1"/>
      <c r="BZ34" s="1"/>
    </row>
    <row r="35" spans="1:78" x14ac:dyDescent="0.2">
      <c r="A35" s="198" t="s">
        <v>94</v>
      </c>
      <c r="B35" s="175">
        <f>B3+B33</f>
        <v>27944.149999999998</v>
      </c>
      <c r="I35" s="228">
        <f>I3+I33</f>
        <v>22519.308456148734</v>
      </c>
      <c r="P35" s="175">
        <f>P3+P33</f>
        <v>35338.169590681799</v>
      </c>
      <c r="W35" s="228">
        <f>W3+W33</f>
        <v>54214.768613395565</v>
      </c>
      <c r="AC35" s="194">
        <f>AC3+AC33</f>
        <v>74124.686917211948</v>
      </c>
      <c r="AI35" s="194">
        <f>AI3+AI33</f>
        <v>92077.029251849381</v>
      </c>
      <c r="AO35" s="194">
        <f>AO3+AO33</f>
        <v>108378.36770819449</v>
      </c>
      <c r="AV35" s="52">
        <v>13345</v>
      </c>
      <c r="AW35" s="52">
        <v>8742.3499970000084</v>
      </c>
      <c r="AX35" s="52">
        <v>10673.443439045546</v>
      </c>
      <c r="AY35" s="52">
        <v>13253.575554402214</v>
      </c>
      <c r="AZ35" s="52">
        <v>15782.006008029388</v>
      </c>
      <c r="BA35" s="52">
        <v>17305.873641520269</v>
      </c>
      <c r="BB35" s="35">
        <v>19053.394259993842</v>
      </c>
      <c r="BC35" s="95"/>
      <c r="BD35" s="52">
        <f>BD3+BD33</f>
        <v>12450.949999999997</v>
      </c>
      <c r="BE35" s="52">
        <f t="shared" ref="BE35:BJ35" si="38">BE3+BE33</f>
        <v>12536.75845914871</v>
      </c>
      <c r="BF35" s="52">
        <f t="shared" si="38"/>
        <v>20000.69990163625</v>
      </c>
      <c r="BG35" s="52">
        <f t="shared" si="38"/>
        <v>27453.84969699334</v>
      </c>
      <c r="BH35" s="52">
        <f t="shared" si="38"/>
        <v>33764.423599182555</v>
      </c>
      <c r="BI35" s="52">
        <f t="shared" si="38"/>
        <v>39974.694431609125</v>
      </c>
      <c r="BJ35" s="35">
        <f t="shared" si="38"/>
        <v>46334.846189467396</v>
      </c>
      <c r="BK35" s="4"/>
      <c r="BL35" s="52">
        <f>BL3+BL33</f>
        <v>2148.2000000000007</v>
      </c>
      <c r="BM35" s="52">
        <f t="shared" ref="BM35:BR35" si="39">BM3+BM33</f>
        <v>1240.2000000000007</v>
      </c>
      <c r="BN35" s="52">
        <f t="shared" si="39"/>
        <v>4664.0262499999972</v>
      </c>
      <c r="BO35" s="52">
        <f t="shared" si="39"/>
        <v>13507.343362000005</v>
      </c>
      <c r="BP35" s="52">
        <f t="shared" si="39"/>
        <v>24578.257310000001</v>
      </c>
      <c r="BQ35" s="52">
        <f t="shared" si="39"/>
        <v>34796.461178720005</v>
      </c>
      <c r="BR35" s="35">
        <f t="shared" si="39"/>
        <v>42990.127258733221</v>
      </c>
      <c r="BS35" s="4"/>
      <c r="BT35" s="52">
        <f>BT3+BT33</f>
        <v>3339.75</v>
      </c>
      <c r="BU35" s="52">
        <f t="shared" ref="BU35:BZ35" si="40">BU3+BU33</f>
        <v>2946.3508855333284</v>
      </c>
      <c r="BV35" s="52">
        <f t="shared" si="40"/>
        <v>5721.2682266222173</v>
      </c>
      <c r="BW35" s="52">
        <f t="shared" si="40"/>
        <v>9039.1931520561066</v>
      </c>
      <c r="BX35" s="52">
        <f t="shared" si="40"/>
        <v>12981.223728780662</v>
      </c>
      <c r="BY35" s="52">
        <f t="shared" si="40"/>
        <v>17639.032895798544</v>
      </c>
      <c r="BZ35" s="35">
        <f t="shared" si="40"/>
        <v>22116.189803213761</v>
      </c>
    </row>
    <row r="38" spans="1:78" x14ac:dyDescent="0.2">
      <c r="BB38" s="221"/>
    </row>
    <row r="39" spans="1:78" x14ac:dyDescent="0.2">
      <c r="A39" s="402"/>
      <c r="B39" s="402"/>
      <c r="C39" s="402"/>
      <c r="D39" s="402"/>
      <c r="E39" s="402"/>
      <c r="F39" s="402"/>
      <c r="G39" s="402"/>
      <c r="H39" s="402"/>
      <c r="AZ39" s="221"/>
    </row>
    <row r="40" spans="1:78" x14ac:dyDescent="0.2">
      <c r="A40" s="403"/>
      <c r="B40" s="404"/>
      <c r="C40" s="404"/>
      <c r="D40" s="404"/>
      <c r="E40" s="404"/>
      <c r="F40" s="404"/>
      <c r="G40" s="404"/>
      <c r="H40" s="404"/>
    </row>
    <row r="41" spans="1:78" x14ac:dyDescent="0.2">
      <c r="AZ41" s="221"/>
    </row>
    <row r="42" spans="1:78" x14ac:dyDescent="0.2">
      <c r="B42" s="401"/>
      <c r="C42" s="401"/>
      <c r="D42" s="401"/>
      <c r="E42" s="401"/>
      <c r="F42" s="401"/>
      <c r="G42" s="401"/>
      <c r="H42" s="401"/>
    </row>
  </sheetData>
  <mergeCells count="5">
    <mergeCell ref="BD1:BJ1"/>
    <mergeCell ref="BL1:BR1"/>
    <mergeCell ref="BT1:BZ1"/>
    <mergeCell ref="B1:AT1"/>
    <mergeCell ref="AV1:B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3A7E-8228-2F44-8E26-EC321EDC4CF3}">
  <dimension ref="A1:CE4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34" sqref="K34"/>
    </sheetView>
  </sheetViews>
  <sheetFormatPr baseColWidth="10" defaultColWidth="10.83203125" defaultRowHeight="14" x14ac:dyDescent="0.15"/>
  <cols>
    <col min="1" max="1" width="54.83203125" style="170" customWidth="1"/>
    <col min="2" max="29" width="11" style="170" customWidth="1"/>
    <col min="30" max="30" width="11" style="364" customWidth="1"/>
    <col min="31" max="50" width="11" style="170" customWidth="1"/>
    <col min="51" max="51" width="6.5" style="170" customWidth="1"/>
    <col min="52" max="83" width="10.83203125" style="170" customWidth="1"/>
    <col min="84" max="16384" width="10.83203125" style="170"/>
  </cols>
  <sheetData>
    <row r="1" spans="1:83" ht="16" x14ac:dyDescent="0.2">
      <c r="A1" s="168" t="s">
        <v>40</v>
      </c>
      <c r="B1" s="410" t="s">
        <v>132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  <c r="U1" s="411"/>
      <c r="V1" s="411"/>
      <c r="W1" s="411"/>
      <c r="X1" s="411"/>
      <c r="Y1" s="411"/>
      <c r="Z1" s="411"/>
      <c r="AA1" s="411"/>
      <c r="AB1" s="411"/>
      <c r="AC1" s="411"/>
      <c r="AD1" s="411"/>
      <c r="AE1" s="411"/>
      <c r="AF1" s="411"/>
      <c r="AG1" s="411"/>
      <c r="AH1" s="411"/>
      <c r="AI1" s="411"/>
      <c r="AJ1" s="411"/>
      <c r="AK1" s="411"/>
      <c r="AL1" s="411"/>
      <c r="AM1" s="411"/>
      <c r="AN1" s="411"/>
      <c r="AO1" s="411"/>
      <c r="AP1" s="411"/>
      <c r="AQ1" s="411"/>
      <c r="AR1" s="411"/>
      <c r="AS1" s="411"/>
      <c r="AT1" s="411"/>
      <c r="AU1" s="411"/>
      <c r="AV1" s="411"/>
      <c r="AW1" s="411"/>
      <c r="AX1" s="411"/>
      <c r="AY1" s="169"/>
      <c r="AZ1" s="411" t="s">
        <v>1</v>
      </c>
      <c r="BA1" s="411"/>
      <c r="BB1" s="411"/>
      <c r="BC1" s="411"/>
      <c r="BD1" s="411"/>
      <c r="BE1" s="411"/>
      <c r="BF1" s="411"/>
      <c r="BG1" s="169"/>
      <c r="BH1" s="411" t="s">
        <v>2</v>
      </c>
      <c r="BI1" s="411"/>
      <c r="BJ1" s="411"/>
      <c r="BK1" s="411"/>
      <c r="BL1" s="411"/>
      <c r="BM1" s="411"/>
      <c r="BN1" s="411"/>
      <c r="BO1" s="169"/>
      <c r="BP1" s="411" t="s">
        <v>3</v>
      </c>
      <c r="BQ1" s="411"/>
      <c r="BR1" s="411"/>
      <c r="BS1" s="411"/>
      <c r="BT1" s="411"/>
      <c r="BU1" s="411"/>
      <c r="BV1" s="411"/>
      <c r="BW1" s="169"/>
      <c r="BX1" s="411" t="s">
        <v>4</v>
      </c>
      <c r="BY1" s="411"/>
      <c r="BZ1" s="411"/>
      <c r="CA1" s="411"/>
      <c r="CB1" s="411"/>
      <c r="CC1" s="411"/>
      <c r="CD1" s="411"/>
      <c r="CE1" s="169"/>
    </row>
    <row r="2" spans="1:83" ht="34" x14ac:dyDescent="0.15">
      <c r="A2" s="171"/>
      <c r="B2" s="407" t="s">
        <v>26</v>
      </c>
      <c r="C2" s="172" t="s">
        <v>133</v>
      </c>
      <c r="D2" s="172" t="s">
        <v>134</v>
      </c>
      <c r="E2" s="172" t="s">
        <v>135</v>
      </c>
      <c r="F2" s="172" t="s">
        <v>136</v>
      </c>
      <c r="G2" s="172" t="s">
        <v>137</v>
      </c>
      <c r="H2" s="172" t="s">
        <v>140</v>
      </c>
      <c r="I2" s="407" t="s">
        <v>5</v>
      </c>
      <c r="J2" s="172" t="s">
        <v>133</v>
      </c>
      <c r="K2" s="172" t="s">
        <v>134</v>
      </c>
      <c r="L2" s="172" t="s">
        <v>135</v>
      </c>
      <c r="M2" s="172" t="s">
        <v>136</v>
      </c>
      <c r="N2" s="172" t="s">
        <v>137</v>
      </c>
      <c r="O2" s="172" t="s">
        <v>140</v>
      </c>
      <c r="P2" s="407">
        <v>2026</v>
      </c>
      <c r="Q2" s="172" t="s">
        <v>133</v>
      </c>
      <c r="R2" s="172" t="s">
        <v>134</v>
      </c>
      <c r="S2" s="172" t="s">
        <v>135</v>
      </c>
      <c r="T2" s="172" t="s">
        <v>136</v>
      </c>
      <c r="U2" s="172" t="s">
        <v>137</v>
      </c>
      <c r="V2" s="172" t="s">
        <v>140</v>
      </c>
      <c r="W2" s="407">
        <v>2027</v>
      </c>
      <c r="X2" s="172" t="s">
        <v>133</v>
      </c>
      <c r="Y2" s="172" t="s">
        <v>134</v>
      </c>
      <c r="Z2" s="172" t="s">
        <v>135</v>
      </c>
      <c r="AA2" s="172" t="s">
        <v>136</v>
      </c>
      <c r="AB2" s="172" t="s">
        <v>137</v>
      </c>
      <c r="AC2" s="172" t="s">
        <v>140</v>
      </c>
      <c r="AD2" s="172">
        <v>2028</v>
      </c>
      <c r="AE2" s="172" t="s">
        <v>133</v>
      </c>
      <c r="AF2" s="172" t="s">
        <v>134</v>
      </c>
      <c r="AG2" s="172" t="s">
        <v>135</v>
      </c>
      <c r="AH2" s="172" t="s">
        <v>136</v>
      </c>
      <c r="AI2" s="172" t="s">
        <v>137</v>
      </c>
      <c r="AJ2" s="172" t="s">
        <v>140</v>
      </c>
      <c r="AK2" s="407">
        <v>2029</v>
      </c>
      <c r="AL2" s="172" t="s">
        <v>133</v>
      </c>
      <c r="AM2" s="172" t="s">
        <v>134</v>
      </c>
      <c r="AN2" s="172" t="s">
        <v>135</v>
      </c>
      <c r="AO2" s="172" t="s">
        <v>136</v>
      </c>
      <c r="AP2" s="172" t="s">
        <v>137</v>
      </c>
      <c r="AQ2" s="172" t="s">
        <v>140</v>
      </c>
      <c r="AR2" s="407">
        <v>2030</v>
      </c>
      <c r="AS2" s="172" t="s">
        <v>133</v>
      </c>
      <c r="AT2" s="172" t="s">
        <v>134</v>
      </c>
      <c r="AU2" s="172" t="s">
        <v>135</v>
      </c>
      <c r="AV2" s="172" t="s">
        <v>136</v>
      </c>
      <c r="AW2" s="172" t="s">
        <v>137</v>
      </c>
      <c r="AX2" s="172" t="s">
        <v>140</v>
      </c>
      <c r="AY2" s="169"/>
      <c r="AZ2" s="407" t="s">
        <v>26</v>
      </c>
      <c r="BA2" s="407" t="s">
        <v>5</v>
      </c>
      <c r="BB2" s="173">
        <v>2026</v>
      </c>
      <c r="BC2" s="173">
        <v>2027</v>
      </c>
      <c r="BD2" s="173">
        <v>2028</v>
      </c>
      <c r="BE2" s="173">
        <v>2029</v>
      </c>
      <c r="BF2" s="173">
        <v>2030</v>
      </c>
      <c r="BG2" s="169"/>
      <c r="BH2" s="407" t="s">
        <v>26</v>
      </c>
      <c r="BI2" s="407" t="s">
        <v>5</v>
      </c>
      <c r="BJ2" s="173">
        <v>2026</v>
      </c>
      <c r="BK2" s="173">
        <v>2027</v>
      </c>
      <c r="BL2" s="173">
        <v>2028</v>
      </c>
      <c r="BM2" s="173">
        <v>2029</v>
      </c>
      <c r="BN2" s="173">
        <v>2030</v>
      </c>
      <c r="BO2" s="169"/>
      <c r="BP2" s="407" t="s">
        <v>26</v>
      </c>
      <c r="BQ2" s="407" t="s">
        <v>5</v>
      </c>
      <c r="BR2" s="173">
        <v>2026</v>
      </c>
      <c r="BS2" s="173">
        <v>2027</v>
      </c>
      <c r="BT2" s="173">
        <v>2028</v>
      </c>
      <c r="BU2" s="173">
        <v>2029</v>
      </c>
      <c r="BV2" s="173">
        <v>2030</v>
      </c>
      <c r="BW2" s="169"/>
      <c r="BX2" s="407" t="s">
        <v>26</v>
      </c>
      <c r="BY2" s="407" t="s">
        <v>5</v>
      </c>
      <c r="BZ2" s="173">
        <v>2026</v>
      </c>
      <c r="CA2" s="173">
        <v>2027</v>
      </c>
      <c r="CB2" s="173">
        <v>2028</v>
      </c>
      <c r="CC2" s="173">
        <v>2029</v>
      </c>
      <c r="CD2" s="173">
        <v>2030</v>
      </c>
      <c r="CE2" s="169"/>
    </row>
    <row r="3" spans="1:83" ht="16" x14ac:dyDescent="0.2">
      <c r="A3" s="174" t="s">
        <v>41</v>
      </c>
      <c r="B3" s="175">
        <f>SUM(B4:B8)</f>
        <v>115131</v>
      </c>
      <c r="C3" s="176"/>
      <c r="D3" s="169"/>
      <c r="E3" s="169"/>
      <c r="F3" s="169"/>
      <c r="G3" s="169"/>
      <c r="H3" s="169"/>
      <c r="I3" s="175">
        <f>SUM(I4:I8)</f>
        <v>116763.02786206896</v>
      </c>
      <c r="J3" s="184"/>
      <c r="K3" s="184"/>
      <c r="L3" s="184"/>
      <c r="M3" s="184"/>
      <c r="N3" s="184"/>
      <c r="O3" s="184"/>
      <c r="P3" s="228">
        <f>SUM(P4:P8)</f>
        <v>137509.16754142527</v>
      </c>
      <c r="Q3" s="169"/>
      <c r="R3" s="169"/>
      <c r="S3" s="169"/>
      <c r="T3" s="169"/>
      <c r="U3" s="169"/>
      <c r="V3" s="169"/>
      <c r="W3" s="228">
        <f>SUM(W4:W8)</f>
        <v>163226.34643432734</v>
      </c>
      <c r="X3" s="169"/>
      <c r="Y3" s="169"/>
      <c r="Z3" s="169"/>
      <c r="AA3" s="169"/>
      <c r="AB3" s="169"/>
      <c r="AC3" s="169"/>
      <c r="AD3" s="359">
        <f>SUM(AD4:AD8)</f>
        <v>195015.32982059082</v>
      </c>
      <c r="AE3" s="169"/>
      <c r="AF3" s="169"/>
      <c r="AG3" s="169"/>
      <c r="AH3" s="169"/>
      <c r="AI3" s="169"/>
      <c r="AJ3" s="169"/>
      <c r="AK3" s="228">
        <f>SUM(AK4:AK8)</f>
        <v>235724.94828065726</v>
      </c>
      <c r="AL3" s="169"/>
      <c r="AM3" s="169"/>
      <c r="AN3" s="169"/>
      <c r="AO3" s="169"/>
      <c r="AP3" s="169"/>
      <c r="AQ3" s="169"/>
      <c r="AR3" s="228">
        <f>SUM(AR4:AR8)</f>
        <v>287125.81092581822</v>
      </c>
      <c r="AS3" s="169"/>
      <c r="AT3" s="169"/>
      <c r="AU3" s="169"/>
      <c r="AV3" s="169"/>
      <c r="AW3" s="169"/>
      <c r="AX3" s="169"/>
      <c r="AY3" s="169"/>
      <c r="AZ3" s="178">
        <v>51450</v>
      </c>
      <c r="BA3" s="178">
        <v>51502</v>
      </c>
      <c r="BB3" s="179">
        <v>59323.437066666658</v>
      </c>
      <c r="BC3" s="179">
        <v>68332.846733066661</v>
      </c>
      <c r="BD3" s="179">
        <v>78710.690094759062</v>
      </c>
      <c r="BE3" s="179">
        <v>90664.845120696235</v>
      </c>
      <c r="BF3" s="180">
        <v>104434.77255757352</v>
      </c>
      <c r="BG3" s="169"/>
      <c r="BH3" s="179">
        <v>42500</v>
      </c>
      <c r="BI3" s="179">
        <v>43215.027862068964</v>
      </c>
      <c r="BJ3" s="179">
        <v>51144.985474758614</v>
      </c>
      <c r="BK3" s="179">
        <v>60531.073451260672</v>
      </c>
      <c r="BL3" s="179">
        <v>71640.855475831762</v>
      </c>
      <c r="BM3" s="179">
        <v>84791.094137461027</v>
      </c>
      <c r="BN3" s="181">
        <v>100356.80384661969</v>
      </c>
      <c r="BO3" s="169"/>
      <c r="BP3" s="179">
        <v>23700</v>
      </c>
      <c r="BQ3" s="179">
        <v>24565</v>
      </c>
      <c r="BR3" s="179">
        <v>29797.345000000001</v>
      </c>
      <c r="BS3" s="179">
        <v>37246.681250000001</v>
      </c>
      <c r="BT3" s="179">
        <v>47675.752</v>
      </c>
      <c r="BU3" s="179">
        <v>63408.750160000003</v>
      </c>
      <c r="BV3" s="180">
        <v>85601.812716000015</v>
      </c>
      <c r="BW3" s="169"/>
      <c r="BX3" s="179">
        <v>8500</v>
      </c>
      <c r="BY3" s="179">
        <v>7911.8422222222225</v>
      </c>
      <c r="BZ3" s="179">
        <v>8873.1310522222229</v>
      </c>
      <c r="CA3" s="179">
        <v>9951.2164750672218</v>
      </c>
      <c r="CB3" s="179">
        <v>11160.289276787889</v>
      </c>
      <c r="CC3" s="179">
        <v>12516.264423917617</v>
      </c>
      <c r="CD3" s="180">
        <v>14036.990551423607</v>
      </c>
      <c r="CE3" s="169"/>
    </row>
    <row r="4" spans="1:83" ht="16" x14ac:dyDescent="0.2">
      <c r="A4" s="182" t="s">
        <v>42</v>
      </c>
      <c r="B4" s="183">
        <f>(AZ4+BH4+BP4)+SUM(C4:H4)</f>
        <v>51318</v>
      </c>
      <c r="C4" s="176">
        <f>-Вводные!D23</f>
        <v>-110</v>
      </c>
      <c r="D4" s="169"/>
      <c r="E4" s="169"/>
      <c r="F4" s="176">
        <f>-Вводные!D26</f>
        <v>-22</v>
      </c>
      <c r="G4" s="169"/>
      <c r="H4" s="169"/>
      <c r="I4" s="183">
        <f>(BA4+BI4+BQ4)+SUM(J4:N4)</f>
        <v>51370</v>
      </c>
      <c r="J4" s="183">
        <f>-Вводные!D23</f>
        <v>-110</v>
      </c>
      <c r="K4" s="184"/>
      <c r="L4" s="184"/>
      <c r="M4" s="183">
        <f>-Вводные!D26</f>
        <v>-22</v>
      </c>
      <c r="N4" s="184"/>
      <c r="O4" s="184"/>
      <c r="P4" s="183">
        <f>(BB4+BJ4+BR4)+SUM(Q4:V4)</f>
        <v>59184.83706666666</v>
      </c>
      <c r="Q4" s="176">
        <f>-Вводные!E23</f>
        <v>-115.5</v>
      </c>
      <c r="R4" s="169"/>
      <c r="S4" s="169"/>
      <c r="T4" s="176">
        <f>-Вводные!E26</f>
        <v>-23.1</v>
      </c>
      <c r="U4" s="169"/>
      <c r="V4" s="169"/>
      <c r="W4" s="176">
        <f>(BC4+BK4+BS4)+SUM(X4:AC4)</f>
        <v>68187.591733066656</v>
      </c>
      <c r="X4" s="176">
        <f>-Вводные!F23</f>
        <v>-121</v>
      </c>
      <c r="Y4" s="169"/>
      <c r="Z4" s="169"/>
      <c r="AA4" s="176">
        <f>-Вводные!F26</f>
        <v>-24.255000000000003</v>
      </c>
      <c r="AB4" s="169"/>
      <c r="AC4" s="169"/>
      <c r="AD4" s="360">
        <f>(BD4+BL4+BT4)+SUM(AE4:AJ4)</f>
        <v>78558.722344759066</v>
      </c>
      <c r="AE4" s="176">
        <f>-Вводные!G23</f>
        <v>-126.5</v>
      </c>
      <c r="AF4" s="169"/>
      <c r="AG4" s="169"/>
      <c r="AH4" s="176">
        <f>-Вводные!G26</f>
        <v>-25.467750000000002</v>
      </c>
      <c r="AI4" s="169"/>
      <c r="AJ4" s="169"/>
      <c r="AK4" s="176">
        <f>(BE4+BM4+BU4)+SUM(AL4:AQ4)</f>
        <v>90506.103983196241</v>
      </c>
      <c r="AL4" s="176">
        <f>-Вводные!H23</f>
        <v>-132</v>
      </c>
      <c r="AM4" s="169"/>
      <c r="AN4" s="169"/>
      <c r="AO4" s="176">
        <f>-Вводные!H26</f>
        <v>-26.741137500000004</v>
      </c>
      <c r="AP4" s="169"/>
      <c r="AQ4" s="169"/>
      <c r="AR4" s="176">
        <f>(BF4+BN4+BV4)+SUM(AS4:AX4)</f>
        <v>104269.19436319852</v>
      </c>
      <c r="AS4" s="176">
        <f>-Вводные!I23</f>
        <v>-137.5</v>
      </c>
      <c r="AT4" s="169"/>
      <c r="AU4" s="169"/>
      <c r="AV4" s="176">
        <f>-Вводные!I26</f>
        <v>-28.078194375000002</v>
      </c>
      <c r="AW4" s="169"/>
      <c r="AX4" s="169"/>
      <c r="AY4" s="169"/>
      <c r="AZ4" s="185">
        <v>51450</v>
      </c>
      <c r="BA4" s="185">
        <v>51502</v>
      </c>
      <c r="BB4" s="186">
        <v>59323.437066666658</v>
      </c>
      <c r="BC4" s="186">
        <v>68332.846733066661</v>
      </c>
      <c r="BD4" s="186">
        <v>78710.690094759062</v>
      </c>
      <c r="BE4" s="186">
        <v>90664.845120696235</v>
      </c>
      <c r="BF4" s="186">
        <v>104434.77255757352</v>
      </c>
      <c r="BG4" s="169"/>
      <c r="BH4" s="187">
        <v>0</v>
      </c>
      <c r="BI4" s="187">
        <v>0</v>
      </c>
      <c r="BJ4" s="186">
        <v>0</v>
      </c>
      <c r="BK4" s="186">
        <v>0</v>
      </c>
      <c r="BL4" s="186">
        <v>0</v>
      </c>
      <c r="BM4" s="186">
        <v>0</v>
      </c>
      <c r="BN4" s="186">
        <v>0</v>
      </c>
      <c r="BO4" s="169"/>
      <c r="BP4" s="187">
        <v>0</v>
      </c>
      <c r="BQ4" s="188">
        <v>0</v>
      </c>
      <c r="BR4" s="186">
        <v>0</v>
      </c>
      <c r="BS4" s="186">
        <v>0</v>
      </c>
      <c r="BT4" s="186">
        <v>0</v>
      </c>
      <c r="BU4" s="186">
        <v>0</v>
      </c>
      <c r="BV4" s="186">
        <v>0</v>
      </c>
      <c r="BW4" s="169"/>
      <c r="BX4" s="187">
        <v>0</v>
      </c>
      <c r="BY4" s="188">
        <v>0</v>
      </c>
      <c r="BZ4" s="186">
        <v>0</v>
      </c>
      <c r="CA4" s="186">
        <v>0</v>
      </c>
      <c r="CB4" s="186">
        <v>0</v>
      </c>
      <c r="CC4" s="186">
        <v>0</v>
      </c>
      <c r="CD4" s="186">
        <v>0</v>
      </c>
      <c r="CE4" s="169"/>
    </row>
    <row r="5" spans="1:83" ht="16" x14ac:dyDescent="0.2">
      <c r="A5" s="182" t="s">
        <v>43</v>
      </c>
      <c r="B5" s="183">
        <f>(AZ5+BH5+BP5)+SUM(C5:H5)</f>
        <v>26290</v>
      </c>
      <c r="C5" s="169"/>
      <c r="D5" s="176"/>
      <c r="E5" s="169"/>
      <c r="F5" s="169"/>
      <c r="G5" s="176">
        <f>-Вводные!D27</f>
        <v>-1210</v>
      </c>
      <c r="H5" s="169"/>
      <c r="I5" s="183">
        <f>(BA5+BI5+BQ5)+SUM(J5:O5)</f>
        <v>26879.768110344827</v>
      </c>
      <c r="J5" s="184"/>
      <c r="K5" s="184"/>
      <c r="L5" s="184"/>
      <c r="M5" s="184"/>
      <c r="N5" s="183">
        <f>-Вводные!D27</f>
        <v>-1210</v>
      </c>
      <c r="O5" s="184"/>
      <c r="P5" s="183">
        <f t="shared" ref="P5:P12" si="0">(BB5+BJ5+BR5)+SUM(Q5:V5)</f>
        <v>31825.926370206893</v>
      </c>
      <c r="Q5" s="169"/>
      <c r="R5" s="169"/>
      <c r="S5" s="169"/>
      <c r="T5" s="169"/>
      <c r="U5" s="176">
        <f>-Вводные!E27</f>
        <v>-1320</v>
      </c>
      <c r="V5" s="169"/>
      <c r="W5" s="176">
        <f t="shared" ref="W5:W7" si="1">(BC5+BK5+BS5)+SUM(X5:AC5)</f>
        <v>37792.19311684413</v>
      </c>
      <c r="X5" s="169"/>
      <c r="Y5" s="169"/>
      <c r="Z5" s="169"/>
      <c r="AA5" s="169"/>
      <c r="AB5" s="176">
        <f>-Вводные!F27</f>
        <v>-1320</v>
      </c>
      <c r="AC5" s="169"/>
      <c r="AD5" s="360">
        <f t="shared" ref="AD5:AD11" si="2">(BD5+BL5+BT5)+SUM(AE5:AJ5)</f>
        <v>44832.38787787607</v>
      </c>
      <c r="AE5" s="169"/>
      <c r="AF5" s="169"/>
      <c r="AG5" s="169"/>
      <c r="AH5" s="169"/>
      <c r="AI5" s="176">
        <f>-Вводные!G27</f>
        <v>-1320</v>
      </c>
      <c r="AJ5" s="169"/>
      <c r="AK5" s="176">
        <f t="shared" ref="AK5:AK11" si="3">(BE5+BM5+BU5)+SUM(AL5:AQ5)</f>
        <v>53139.817695893762</v>
      </c>
      <c r="AL5" s="169"/>
      <c r="AM5" s="169"/>
      <c r="AN5" s="169"/>
      <c r="AO5" s="169"/>
      <c r="AP5" s="176">
        <f>-Вводные!H27</f>
        <v>-1320</v>
      </c>
      <c r="AQ5" s="169"/>
      <c r="AR5" s="176">
        <f t="shared" ref="AR5:AR6" si="4">(BF5+BN5+BV5)+SUM(AS5:AX5)</f>
        <v>62942.584881154638</v>
      </c>
      <c r="AS5" s="169"/>
      <c r="AT5" s="169"/>
      <c r="AU5" s="169"/>
      <c r="AV5" s="169"/>
      <c r="AW5" s="176">
        <f>-Вводные!I27</f>
        <v>-1320</v>
      </c>
      <c r="AX5" s="169"/>
      <c r="AY5" s="169"/>
      <c r="AZ5" s="185">
        <v>0</v>
      </c>
      <c r="BA5" s="185">
        <v>0</v>
      </c>
      <c r="BB5" s="186"/>
      <c r="BC5" s="186"/>
      <c r="BD5" s="186"/>
      <c r="BE5" s="186"/>
      <c r="BF5" s="186"/>
      <c r="BG5" s="169"/>
      <c r="BH5" s="187">
        <v>27500</v>
      </c>
      <c r="BI5" s="187">
        <v>28089.768110344827</v>
      </c>
      <c r="BJ5" s="186">
        <v>33145.926370206893</v>
      </c>
      <c r="BK5" s="186">
        <v>39112.19311684413</v>
      </c>
      <c r="BL5" s="186">
        <v>46152.38787787607</v>
      </c>
      <c r="BM5" s="186">
        <v>54459.817695893762</v>
      </c>
      <c r="BN5" s="186">
        <v>64262.584881154638</v>
      </c>
      <c r="BO5" s="169"/>
      <c r="BP5" s="187">
        <v>0</v>
      </c>
      <c r="BQ5" s="188">
        <v>0</v>
      </c>
      <c r="BR5" s="186">
        <v>0</v>
      </c>
      <c r="BS5" s="186">
        <v>0</v>
      </c>
      <c r="BT5" s="186">
        <v>0</v>
      </c>
      <c r="BU5" s="186">
        <v>0</v>
      </c>
      <c r="BV5" s="186">
        <v>0</v>
      </c>
      <c r="BW5" s="169"/>
      <c r="BX5" s="187">
        <v>0</v>
      </c>
      <c r="BY5" s="188">
        <v>0</v>
      </c>
      <c r="BZ5" s="186">
        <v>0</v>
      </c>
      <c r="CA5" s="186">
        <v>0</v>
      </c>
      <c r="CB5" s="186">
        <v>0</v>
      </c>
      <c r="CC5" s="186">
        <v>0</v>
      </c>
      <c r="CD5" s="186">
        <v>0</v>
      </c>
      <c r="CE5" s="169"/>
    </row>
    <row r="6" spans="1:83" ht="16" x14ac:dyDescent="0.2">
      <c r="A6" s="182" t="s">
        <v>44</v>
      </c>
      <c r="B6" s="183">
        <f>(AZ6+BH6+BP6)+SUM(C6:H6)</f>
        <v>13823</v>
      </c>
      <c r="C6" s="169"/>
      <c r="D6" s="176">
        <f>-Вводные!D24</f>
        <v>-1100</v>
      </c>
      <c r="E6" s="176">
        <f>-Вводные!D25</f>
        <v>-77</v>
      </c>
      <c r="F6" s="169"/>
      <c r="G6" s="169"/>
      <c r="H6" s="169"/>
      <c r="I6" s="183">
        <f>(BA6+BI6+BQ6)+SUM(J6:O6)</f>
        <v>13948.259751724137</v>
      </c>
      <c r="J6" s="184"/>
      <c r="K6" s="183">
        <f>-Вводные!D24</f>
        <v>-1100</v>
      </c>
      <c r="L6" s="183">
        <f>-Вводные!D25</f>
        <v>-77</v>
      </c>
      <c r="M6" s="184"/>
      <c r="N6" s="184"/>
      <c r="O6" s="184"/>
      <c r="P6" s="183">
        <f t="shared" si="0"/>
        <v>16701.059104551721</v>
      </c>
      <c r="Q6" s="169"/>
      <c r="R6" s="176">
        <f>-Вводные!E24</f>
        <v>-1210</v>
      </c>
      <c r="S6" s="176">
        <f>-Вводные!E25</f>
        <v>-88</v>
      </c>
      <c r="T6" s="169"/>
      <c r="U6" s="169"/>
      <c r="V6" s="169"/>
      <c r="W6" s="176">
        <f t="shared" si="1"/>
        <v>19999.880334416546</v>
      </c>
      <c r="X6" s="169"/>
      <c r="Y6" s="176">
        <f>-Вводные!F24</f>
        <v>-1320</v>
      </c>
      <c r="Z6" s="176">
        <f>-Вводные!F25</f>
        <v>-99</v>
      </c>
      <c r="AA6" s="169"/>
      <c r="AB6" s="169"/>
      <c r="AC6" s="169"/>
      <c r="AD6" s="360">
        <f t="shared" si="2"/>
        <v>23948.467597955689</v>
      </c>
      <c r="AE6" s="169"/>
      <c r="AF6" s="176">
        <f>-Вводные!G24</f>
        <v>-1430</v>
      </c>
      <c r="AG6" s="176">
        <f>-Вводные!G25</f>
        <v>-110</v>
      </c>
      <c r="AH6" s="169"/>
      <c r="AI6" s="169"/>
      <c r="AJ6" s="169"/>
      <c r="AK6" s="176">
        <f t="shared" si="3"/>
        <v>28670.276441567268</v>
      </c>
      <c r="AL6" s="169"/>
      <c r="AM6" s="176">
        <f>-Вводные!H24</f>
        <v>-1540</v>
      </c>
      <c r="AN6" s="176">
        <f>-Вводные!H25</f>
        <v>-121</v>
      </c>
      <c r="AO6" s="169"/>
      <c r="AP6" s="169"/>
      <c r="AQ6" s="169"/>
      <c r="AR6" s="176">
        <f t="shared" si="4"/>
        <v>34312.21896546505</v>
      </c>
      <c r="AS6" s="169"/>
      <c r="AT6" s="176">
        <f>-Вводные!I24</f>
        <v>-1650</v>
      </c>
      <c r="AU6" s="176">
        <f>-Вводные!I25</f>
        <v>-132</v>
      </c>
      <c r="AV6" s="169"/>
      <c r="AW6" s="169"/>
      <c r="AX6" s="169"/>
      <c r="AY6" s="169"/>
      <c r="AZ6" s="185">
        <v>0</v>
      </c>
      <c r="BA6" s="185">
        <v>0</v>
      </c>
      <c r="BB6" s="186"/>
      <c r="BC6" s="186"/>
      <c r="BD6" s="186"/>
      <c r="BE6" s="186"/>
      <c r="BF6" s="186"/>
      <c r="BG6" s="169"/>
      <c r="BH6" s="187">
        <v>15000</v>
      </c>
      <c r="BI6" s="187">
        <v>15125.259751724137</v>
      </c>
      <c r="BJ6" s="186">
        <v>17999.059104551721</v>
      </c>
      <c r="BK6" s="186">
        <v>21418.880334416546</v>
      </c>
      <c r="BL6" s="186">
        <v>25488.467597955689</v>
      </c>
      <c r="BM6" s="186">
        <v>30331.276441567268</v>
      </c>
      <c r="BN6" s="186">
        <v>36094.21896546505</v>
      </c>
      <c r="BO6" s="169"/>
      <c r="BP6" s="187">
        <v>0</v>
      </c>
      <c r="BQ6" s="188">
        <v>0</v>
      </c>
      <c r="BR6" s="186">
        <v>0</v>
      </c>
      <c r="BS6" s="186">
        <v>0</v>
      </c>
      <c r="BT6" s="186">
        <v>0</v>
      </c>
      <c r="BU6" s="186">
        <v>0</v>
      </c>
      <c r="BV6" s="186">
        <v>0</v>
      </c>
      <c r="BW6" s="169"/>
      <c r="BX6" s="187">
        <v>0</v>
      </c>
      <c r="BY6" s="188">
        <v>0</v>
      </c>
      <c r="BZ6" s="186">
        <v>0</v>
      </c>
      <c r="CA6" s="186">
        <v>0</v>
      </c>
      <c r="CB6" s="186">
        <v>0</v>
      </c>
      <c r="CC6" s="186">
        <v>0</v>
      </c>
      <c r="CD6" s="186">
        <v>0</v>
      </c>
      <c r="CE6" s="169"/>
    </row>
    <row r="7" spans="1:83" ht="16" x14ac:dyDescent="0.2">
      <c r="A7" s="182" t="s">
        <v>45</v>
      </c>
      <c r="B7" s="183">
        <f>(AZ7+BH7+BP7)+SUM(C7:H7)</f>
        <v>23700</v>
      </c>
      <c r="C7" s="169"/>
      <c r="D7" s="169"/>
      <c r="E7" s="169"/>
      <c r="F7" s="169"/>
      <c r="G7" s="169"/>
      <c r="H7" s="169"/>
      <c r="I7" s="183">
        <f>(BA7+BI7+BQ7)+SUM(J7:O7)</f>
        <v>24565</v>
      </c>
      <c r="J7" s="184"/>
      <c r="K7" s="184"/>
      <c r="L7" s="184"/>
      <c r="M7" s="184"/>
      <c r="N7" s="184"/>
      <c r="O7" s="184"/>
      <c r="P7" s="183">
        <f t="shared" si="0"/>
        <v>29797.345000000001</v>
      </c>
      <c r="Q7" s="169"/>
      <c r="R7" s="169"/>
      <c r="S7" s="169"/>
      <c r="T7" s="169"/>
      <c r="U7" s="169"/>
      <c r="V7" s="169"/>
      <c r="W7" s="176">
        <f t="shared" si="1"/>
        <v>37246.681250000001</v>
      </c>
      <c r="X7" s="169"/>
      <c r="Y7" s="169"/>
      <c r="Z7" s="169"/>
      <c r="AA7" s="169"/>
      <c r="AB7" s="169"/>
      <c r="AC7" s="169"/>
      <c r="AD7" s="360">
        <f t="shared" si="2"/>
        <v>47675.752</v>
      </c>
      <c r="AE7" s="169"/>
      <c r="AF7" s="169"/>
      <c r="AG7" s="169"/>
      <c r="AH7" s="169"/>
      <c r="AI7" s="169"/>
      <c r="AJ7" s="169"/>
      <c r="AK7" s="176">
        <f t="shared" si="3"/>
        <v>63408.750160000003</v>
      </c>
      <c r="AL7" s="169"/>
      <c r="AM7" s="169"/>
      <c r="AN7" s="169"/>
      <c r="AO7" s="169"/>
      <c r="AP7" s="169"/>
      <c r="AQ7" s="169"/>
      <c r="AR7" s="176">
        <f>(BF7+BN7+BV7)</f>
        <v>85601.812716000015</v>
      </c>
      <c r="AS7" s="169"/>
      <c r="AT7" s="169"/>
      <c r="AU7" s="169"/>
      <c r="AV7" s="169"/>
      <c r="AW7" s="169"/>
      <c r="AX7" s="169"/>
      <c r="AY7" s="169"/>
      <c r="AZ7" s="185">
        <v>0</v>
      </c>
      <c r="BA7" s="185">
        <v>0</v>
      </c>
      <c r="BB7" s="186"/>
      <c r="BC7" s="186"/>
      <c r="BD7" s="186"/>
      <c r="BE7" s="186"/>
      <c r="BF7" s="186"/>
      <c r="BG7" s="169"/>
      <c r="BH7" s="187">
        <v>0</v>
      </c>
      <c r="BI7" s="187">
        <v>0</v>
      </c>
      <c r="BJ7" s="186">
        <v>0</v>
      </c>
      <c r="BK7" s="186">
        <v>0</v>
      </c>
      <c r="BL7" s="186">
        <v>0</v>
      </c>
      <c r="BM7" s="186">
        <v>0</v>
      </c>
      <c r="BN7" s="186">
        <v>0</v>
      </c>
      <c r="BO7" s="169"/>
      <c r="BP7" s="187">
        <v>23700</v>
      </c>
      <c r="BQ7" s="188">
        <v>24565</v>
      </c>
      <c r="BR7" s="186">
        <v>29797.345000000001</v>
      </c>
      <c r="BS7" s="186">
        <v>37246.681250000001</v>
      </c>
      <c r="BT7" s="186">
        <v>47675.752</v>
      </c>
      <c r="BU7" s="186">
        <v>63408.750160000003</v>
      </c>
      <c r="BV7" s="186">
        <v>85601.812716000015</v>
      </c>
      <c r="BW7" s="169"/>
      <c r="BX7" s="187">
        <v>0</v>
      </c>
      <c r="BY7" s="188">
        <v>0</v>
      </c>
      <c r="BZ7" s="186">
        <v>0</v>
      </c>
      <c r="CA7" s="186">
        <v>0</v>
      </c>
      <c r="CB7" s="186">
        <v>0</v>
      </c>
      <c r="CC7" s="186">
        <v>0</v>
      </c>
      <c r="CD7" s="186">
        <v>0</v>
      </c>
      <c r="CE7" s="169"/>
    </row>
    <row r="8" spans="1:83" ht="16" x14ac:dyDescent="0.2">
      <c r="A8" s="182" t="s">
        <v>46</v>
      </c>
      <c r="B8" s="183">
        <f>(AZ8+BH8+BP8)+SUM(C8:H8)</f>
        <v>0</v>
      </c>
      <c r="C8" s="169"/>
      <c r="D8" s="169"/>
      <c r="E8" s="169"/>
      <c r="F8" s="169"/>
      <c r="G8" s="169"/>
      <c r="H8" s="169"/>
      <c r="I8" s="183">
        <f>(BA8+BI8+BQ8)+SUM(J8:O8)</f>
        <v>0</v>
      </c>
      <c r="J8" s="184"/>
      <c r="K8" s="184"/>
      <c r="L8" s="184"/>
      <c r="M8" s="184"/>
      <c r="N8" s="184"/>
      <c r="O8" s="184"/>
      <c r="P8" s="183">
        <f t="shared" si="0"/>
        <v>0</v>
      </c>
      <c r="Q8" s="169"/>
      <c r="R8" s="169"/>
      <c r="S8" s="169"/>
      <c r="T8" s="169"/>
      <c r="U8" s="169"/>
      <c r="V8" s="169"/>
      <c r="W8" s="176">
        <f t="shared" ref="W8" si="5">(BC8+BK8+BS8)</f>
        <v>0</v>
      </c>
      <c r="X8" s="169"/>
      <c r="Y8" s="169"/>
      <c r="Z8" s="169"/>
      <c r="AA8" s="169"/>
      <c r="AB8" s="169"/>
      <c r="AC8" s="169"/>
      <c r="AD8" s="360">
        <f>(BD8+BL8+BT8)</f>
        <v>0</v>
      </c>
      <c r="AE8" s="169"/>
      <c r="AF8" s="169"/>
      <c r="AG8" s="169"/>
      <c r="AH8" s="169"/>
      <c r="AI8" s="169"/>
      <c r="AJ8" s="169"/>
      <c r="AK8" s="176">
        <f>(BE8+BM8+BU8)</f>
        <v>0</v>
      </c>
      <c r="AL8" s="169"/>
      <c r="AM8" s="169"/>
      <c r="AN8" s="169"/>
      <c r="AO8" s="169"/>
      <c r="AP8" s="169"/>
      <c r="AQ8" s="169"/>
      <c r="AR8" s="176">
        <f>(BF8+BN8+BV8)</f>
        <v>0</v>
      </c>
      <c r="AS8" s="169"/>
      <c r="AT8" s="169"/>
      <c r="AU8" s="169"/>
      <c r="AV8" s="169"/>
      <c r="AW8" s="169"/>
      <c r="AX8" s="169"/>
      <c r="AY8" s="169"/>
      <c r="AZ8" s="185">
        <v>0</v>
      </c>
      <c r="BA8" s="185">
        <v>0</v>
      </c>
      <c r="BB8" s="186"/>
      <c r="BC8" s="186"/>
      <c r="BD8" s="186"/>
      <c r="BE8" s="186"/>
      <c r="BF8" s="186"/>
      <c r="BG8" s="169"/>
      <c r="BH8" s="187">
        <v>0</v>
      </c>
      <c r="BI8" s="187">
        <v>0</v>
      </c>
      <c r="BJ8" s="186">
        <v>0</v>
      </c>
      <c r="BK8" s="186">
        <v>0</v>
      </c>
      <c r="BL8" s="186">
        <v>0</v>
      </c>
      <c r="BM8" s="186">
        <v>0</v>
      </c>
      <c r="BN8" s="186">
        <v>0</v>
      </c>
      <c r="BO8" s="169"/>
      <c r="BP8" s="187">
        <v>0</v>
      </c>
      <c r="BQ8" s="188">
        <v>0</v>
      </c>
      <c r="BR8" s="186">
        <v>0</v>
      </c>
      <c r="BS8" s="186">
        <v>0</v>
      </c>
      <c r="BT8" s="186">
        <v>0</v>
      </c>
      <c r="BU8" s="186">
        <v>0</v>
      </c>
      <c r="BV8" s="186">
        <v>0</v>
      </c>
      <c r="BW8" s="169"/>
      <c r="BX8" s="187">
        <v>8500</v>
      </c>
      <c r="BY8" s="188">
        <v>7911.8422222222225</v>
      </c>
      <c r="BZ8" s="186">
        <v>8873.1310522222229</v>
      </c>
      <c r="CA8" s="186">
        <v>9951.2164750672218</v>
      </c>
      <c r="CB8" s="186">
        <v>11160.289276787889</v>
      </c>
      <c r="CC8" s="186">
        <v>12516.264423917617</v>
      </c>
      <c r="CD8" s="186">
        <v>14036.990551423607</v>
      </c>
      <c r="CE8" s="169"/>
    </row>
    <row r="9" spans="1:83" ht="16" x14ac:dyDescent="0.2">
      <c r="A9" s="174" t="s">
        <v>47</v>
      </c>
      <c r="B9" s="175">
        <f>SUM(B10:B12)</f>
        <v>50290</v>
      </c>
      <c r="C9" s="169"/>
      <c r="D9" s="169"/>
      <c r="E9" s="169"/>
      <c r="F9" s="169"/>
      <c r="G9" s="169"/>
      <c r="H9" s="169"/>
      <c r="I9" s="175">
        <f>SUM(I10:I12)</f>
        <v>50750.063095172409</v>
      </c>
      <c r="J9" s="184"/>
      <c r="K9" s="184"/>
      <c r="L9" s="184"/>
      <c r="M9" s="184"/>
      <c r="N9" s="184"/>
      <c r="O9" s="184"/>
      <c r="P9" s="228">
        <f>SUM(P10:P12)</f>
        <v>57356.908370753823</v>
      </c>
      <c r="Q9" s="169"/>
      <c r="R9" s="169"/>
      <c r="S9" s="169"/>
      <c r="T9" s="169"/>
      <c r="U9" s="169"/>
      <c r="V9" s="169"/>
      <c r="W9" s="228">
        <f>SUM(W10:W12)</f>
        <v>64843.676240095767</v>
      </c>
      <c r="X9" s="169"/>
      <c r="Y9" s="169"/>
      <c r="Z9" s="169"/>
      <c r="AA9" s="169"/>
      <c r="AB9" s="169"/>
      <c r="AC9" s="169"/>
      <c r="AD9" s="359">
        <f>SUM(AD10:AD12)</f>
        <v>73210.955546752608</v>
      </c>
      <c r="AE9" s="169"/>
      <c r="AF9" s="169"/>
      <c r="AG9" s="169"/>
      <c r="AH9" s="169"/>
      <c r="AI9" s="169"/>
      <c r="AJ9" s="169"/>
      <c r="AK9" s="228">
        <f>SUM(AK10:AK12)</f>
        <v>82588.037132381214</v>
      </c>
      <c r="AL9" s="169"/>
      <c r="AM9" s="169"/>
      <c r="AN9" s="169"/>
      <c r="AO9" s="169"/>
      <c r="AP9" s="169"/>
      <c r="AQ9" s="169"/>
      <c r="AR9" s="228">
        <f>SUM(AR10:AR12)</f>
        <v>93126.421244289842</v>
      </c>
      <c r="AS9" s="169"/>
      <c r="AT9" s="169"/>
      <c r="AU9" s="169"/>
      <c r="AV9" s="169"/>
      <c r="AW9" s="169"/>
      <c r="AX9" s="169"/>
      <c r="AY9" s="169"/>
      <c r="AZ9" s="178">
        <v>17350</v>
      </c>
      <c r="BA9" s="178">
        <v>17365</v>
      </c>
      <c r="BB9" s="179">
        <v>19930.159133000001</v>
      </c>
      <c r="BC9" s="179">
        <v>22647.390770630001</v>
      </c>
      <c r="BD9" s="179">
        <v>25525.727411000305</v>
      </c>
      <c r="BE9" s="179">
        <v>28574.738909499451</v>
      </c>
      <c r="BF9" s="179">
        <v>31804.564490600496</v>
      </c>
      <c r="BG9" s="169"/>
      <c r="BH9" s="179">
        <v>20300</v>
      </c>
      <c r="BI9" s="179">
        <v>20311.063095172409</v>
      </c>
      <c r="BJ9" s="179">
        <v>23322.149237753816</v>
      </c>
      <c r="BK9" s="179">
        <v>26794.159469465758</v>
      </c>
      <c r="BL9" s="179">
        <v>30798.762075752289</v>
      </c>
      <c r="BM9" s="179">
        <v>35418.878574281749</v>
      </c>
      <c r="BN9" s="181">
        <v>40750.464894923331</v>
      </c>
      <c r="BO9" s="169"/>
      <c r="BP9" s="179">
        <v>14950</v>
      </c>
      <c r="BQ9" s="179">
        <v>15384</v>
      </c>
      <c r="BR9" s="179">
        <v>16634.600000000002</v>
      </c>
      <c r="BS9" s="179">
        <v>18042.126</v>
      </c>
      <c r="BT9" s="179">
        <v>19636.466060000002</v>
      </c>
      <c r="BU9" s="179">
        <v>21454.419648600004</v>
      </c>
      <c r="BV9" s="180">
        <v>23541.391858766005</v>
      </c>
      <c r="BW9" s="169"/>
      <c r="BX9" s="179">
        <v>2350</v>
      </c>
      <c r="BY9" s="179">
        <v>2421.0911111111109</v>
      </c>
      <c r="BZ9" s="179">
        <v>2569.6429888888888</v>
      </c>
      <c r="CA9" s="179">
        <v>2729.6538122777774</v>
      </c>
      <c r="CB9" s="179">
        <v>2902.2129982747219</v>
      </c>
      <c r="CC9" s="179">
        <v>3088.5278742193068</v>
      </c>
      <c r="CD9" s="180">
        <v>3289.9372515422865</v>
      </c>
      <c r="CE9" s="169"/>
    </row>
    <row r="10" spans="1:83" ht="16" x14ac:dyDescent="0.2">
      <c r="A10" s="182" t="s">
        <v>48</v>
      </c>
      <c r="B10" s="183">
        <f>(AZ10+BH10+BP10)+SUM(C10:H10)</f>
        <v>41960</v>
      </c>
      <c r="C10" s="169"/>
      <c r="D10" s="176">
        <f>-Вводные!D24</f>
        <v>-1100</v>
      </c>
      <c r="E10" s="169"/>
      <c r="F10" s="169"/>
      <c r="G10" s="169"/>
      <c r="H10" s="169"/>
      <c r="I10" s="183">
        <f>(BA10+BI10+BQ10)+SUM(J10:O10)</f>
        <v>42144.561665495843</v>
      </c>
      <c r="J10" s="184"/>
      <c r="K10" s="183">
        <f>-Вводные!D24</f>
        <v>-1100</v>
      </c>
      <c r="L10" s="184"/>
      <c r="M10" s="184"/>
      <c r="N10" s="184"/>
      <c r="O10" s="184"/>
      <c r="P10" s="183">
        <f t="shared" si="0"/>
        <v>47630.463718320214</v>
      </c>
      <c r="Q10" s="169"/>
      <c r="R10" s="176">
        <f>-Вводные!E24</f>
        <v>-1210</v>
      </c>
      <c r="S10" s="169"/>
      <c r="T10" s="169"/>
      <c r="U10" s="169"/>
      <c r="V10" s="169"/>
      <c r="W10" s="176">
        <f t="shared" ref="W10:W11" si="6">(BC10+BK10+BS10)+SUM(X10:AC10)</f>
        <v>53668.304147248251</v>
      </c>
      <c r="X10" s="169"/>
      <c r="Y10" s="176">
        <f>-Вводные!F24</f>
        <v>-1320</v>
      </c>
      <c r="Z10" s="169"/>
      <c r="AA10" s="169"/>
      <c r="AB10" s="169"/>
      <c r="AC10" s="169"/>
      <c r="AD10" s="360">
        <f t="shared" si="2"/>
        <v>60323.626892786284</v>
      </c>
      <c r="AE10" s="169"/>
      <c r="AF10" s="176">
        <f>-Вводные!G24</f>
        <v>-1430</v>
      </c>
      <c r="AG10" s="169"/>
      <c r="AH10" s="169"/>
      <c r="AI10" s="169"/>
      <c r="AJ10" s="169"/>
      <c r="AK10" s="176">
        <f t="shared" si="3"/>
        <v>67670.772677562083</v>
      </c>
      <c r="AL10" s="169"/>
      <c r="AM10" s="176">
        <f>-Вводные!H24</f>
        <v>-1540</v>
      </c>
      <c r="AN10" s="169"/>
      <c r="AO10" s="169"/>
      <c r="AP10" s="169"/>
      <c r="AQ10" s="169"/>
      <c r="AR10" s="176">
        <f t="shared" ref="AR10:AR11" si="7">(BF10+BN10+BV10)+SUM(AS10:AX10)</f>
        <v>75794.136435105713</v>
      </c>
      <c r="AS10" s="169"/>
      <c r="AT10" s="176">
        <f>-Вводные!I24</f>
        <v>-1650</v>
      </c>
      <c r="AU10" s="169"/>
      <c r="AV10" s="169"/>
      <c r="AW10" s="169"/>
      <c r="AX10" s="169"/>
      <c r="AY10" s="169"/>
      <c r="AZ10" s="185">
        <v>13710</v>
      </c>
      <c r="BA10" s="185">
        <v>13690.913300000004</v>
      </c>
      <c r="BB10" s="186">
        <v>16072.368098000004</v>
      </c>
      <c r="BC10" s="186">
        <v>18596.710183880004</v>
      </c>
      <c r="BD10" s="186">
        <v>21272.512794912807</v>
      </c>
      <c r="BE10" s="186">
        <v>24108.863562607577</v>
      </c>
      <c r="BF10" s="186">
        <v>27115.395376364035</v>
      </c>
      <c r="BG10" s="169"/>
      <c r="BH10" s="187">
        <v>16000</v>
      </c>
      <c r="BI10" s="187">
        <v>16013.648365495837</v>
      </c>
      <c r="BJ10" s="186">
        <v>18415.69562032021</v>
      </c>
      <c r="BK10" s="186">
        <v>21178.049963368241</v>
      </c>
      <c r="BL10" s="186">
        <v>24354.757457873475</v>
      </c>
      <c r="BM10" s="186">
        <v>28007.971076554495</v>
      </c>
      <c r="BN10" s="186">
        <v>32209.166738037668</v>
      </c>
      <c r="BO10" s="169"/>
      <c r="BP10" s="187">
        <v>13350</v>
      </c>
      <c r="BQ10" s="188">
        <v>13540</v>
      </c>
      <c r="BR10" s="186">
        <v>14352.400000000001</v>
      </c>
      <c r="BS10" s="186">
        <v>15213.544000000002</v>
      </c>
      <c r="BT10" s="186">
        <v>16126.356640000002</v>
      </c>
      <c r="BU10" s="186">
        <v>17093.938038400003</v>
      </c>
      <c r="BV10" s="186">
        <v>18119.574320704003</v>
      </c>
      <c r="BW10" s="169"/>
      <c r="BX10" s="187">
        <v>1800</v>
      </c>
      <c r="BY10" s="188">
        <v>1834.98</v>
      </c>
      <c r="BZ10" s="186">
        <v>1917.5540999999998</v>
      </c>
      <c r="CA10" s="186">
        <v>2003.8440344999997</v>
      </c>
      <c r="CB10" s="186">
        <v>2094.0170160524995</v>
      </c>
      <c r="CC10" s="186">
        <v>2188.2477817748618</v>
      </c>
      <c r="CD10" s="186">
        <v>2286.7189319547306</v>
      </c>
      <c r="CE10" s="169"/>
    </row>
    <row r="11" spans="1:83" ht="16" x14ac:dyDescent="0.2">
      <c r="A11" s="182" t="s">
        <v>49</v>
      </c>
      <c r="B11" s="183">
        <f>(AZ11+BH11+BP11)+SUM(C11:H11)</f>
        <v>6640</v>
      </c>
      <c r="C11" s="169"/>
      <c r="D11" s="169"/>
      <c r="E11" s="169"/>
      <c r="F11" s="169"/>
      <c r="G11" s="176">
        <f>-Вводные!D27</f>
        <v>-1210</v>
      </c>
      <c r="H11" s="169"/>
      <c r="I11" s="183">
        <f t="shared" ref="I11:I12" si="8">(BA11+BI11+BQ11)+SUM(J11:O11)</f>
        <v>6977.7895979251898</v>
      </c>
      <c r="J11" s="184"/>
      <c r="K11" s="184"/>
      <c r="L11" s="184"/>
      <c r="M11" s="184"/>
      <c r="N11" s="183">
        <f>-Вводные!D27</f>
        <v>-1210</v>
      </c>
      <c r="O11" s="184"/>
      <c r="P11" s="183">
        <f t="shared" si="0"/>
        <v>8009.5554822897939</v>
      </c>
      <c r="Q11" s="169"/>
      <c r="R11" s="169"/>
      <c r="S11" s="169"/>
      <c r="T11" s="169"/>
      <c r="U11" s="176">
        <f>-Вводные!E27</f>
        <v>-1320</v>
      </c>
      <c r="V11" s="169"/>
      <c r="W11" s="176">
        <f t="shared" si="6"/>
        <v>9364.412171317379</v>
      </c>
      <c r="X11" s="169"/>
      <c r="Y11" s="169"/>
      <c r="Z11" s="169"/>
      <c r="AA11" s="169"/>
      <c r="AB11" s="176">
        <f>-Вводные!F27</f>
        <v>-1320</v>
      </c>
      <c r="AC11" s="169"/>
      <c r="AD11" s="360">
        <f t="shared" si="2"/>
        <v>10977.13563737219</v>
      </c>
      <c r="AE11" s="169"/>
      <c r="AF11" s="169"/>
      <c r="AG11" s="169"/>
      <c r="AH11" s="169"/>
      <c r="AI11" s="176">
        <f>-Вводные!G27</f>
        <v>-1320</v>
      </c>
      <c r="AJ11" s="169"/>
      <c r="AK11" s="176">
        <f t="shared" si="3"/>
        <v>12902.392266363502</v>
      </c>
      <c r="AL11" s="169"/>
      <c r="AM11" s="169"/>
      <c r="AN11" s="169"/>
      <c r="AO11" s="169"/>
      <c r="AP11" s="176">
        <f>-Вводные!H27</f>
        <v>-1320</v>
      </c>
      <c r="AQ11" s="169"/>
      <c r="AR11" s="176">
        <f t="shared" si="7"/>
        <v>15206.988020521178</v>
      </c>
      <c r="AS11" s="169"/>
      <c r="AT11" s="169"/>
      <c r="AU11" s="169"/>
      <c r="AV11" s="169"/>
      <c r="AW11" s="176">
        <f>-Вводные!I27</f>
        <v>-1320</v>
      </c>
      <c r="AX11" s="169"/>
      <c r="AY11" s="169"/>
      <c r="AZ11" s="185">
        <v>3450</v>
      </c>
      <c r="BA11" s="185">
        <v>3484.7242292215342</v>
      </c>
      <c r="BB11" s="186">
        <v>3658.9604406826111</v>
      </c>
      <c r="BC11" s="186">
        <v>3841.9084627167417</v>
      </c>
      <c r="BD11" s="186">
        <v>4034.0038858525791</v>
      </c>
      <c r="BE11" s="186">
        <v>4235.7040801452085</v>
      </c>
      <c r="BF11" s="186">
        <v>4447.4892841524688</v>
      </c>
      <c r="BG11" s="169"/>
      <c r="BH11" s="187">
        <v>2900</v>
      </c>
      <c r="BI11" s="187">
        <v>2979.0653687036552</v>
      </c>
      <c r="BJ11" s="186">
        <v>3515.5950416071832</v>
      </c>
      <c r="BK11" s="186">
        <v>4148.7537086006369</v>
      </c>
      <c r="BL11" s="186">
        <v>4895.9442515196115</v>
      </c>
      <c r="BM11" s="186">
        <v>5777.7038112182936</v>
      </c>
      <c r="BN11" s="186">
        <v>6818.2682676187078</v>
      </c>
      <c r="BO11" s="169"/>
      <c r="BP11" s="187">
        <v>1500</v>
      </c>
      <c r="BQ11" s="188">
        <v>1724</v>
      </c>
      <c r="BR11" s="186">
        <v>2155</v>
      </c>
      <c r="BS11" s="186">
        <v>2693.75</v>
      </c>
      <c r="BT11" s="186">
        <v>3367.1875</v>
      </c>
      <c r="BU11" s="186">
        <v>4208.984375</v>
      </c>
      <c r="BV11" s="186">
        <v>5261.23046875</v>
      </c>
      <c r="BW11" s="169"/>
      <c r="BX11" s="187">
        <v>500</v>
      </c>
      <c r="BY11" s="188">
        <v>531.66666666666663</v>
      </c>
      <c r="BZ11" s="186">
        <v>595.4666666666667</v>
      </c>
      <c r="CA11" s="186">
        <v>666.92266666666671</v>
      </c>
      <c r="CB11" s="186">
        <v>746.9533866666668</v>
      </c>
      <c r="CC11" s="186">
        <v>836.5877930666669</v>
      </c>
      <c r="CD11" s="186">
        <v>936.97832823466706</v>
      </c>
      <c r="CE11" s="169"/>
    </row>
    <row r="12" spans="1:83" ht="16" x14ac:dyDescent="0.2">
      <c r="A12" s="182" t="s">
        <v>50</v>
      </c>
      <c r="B12" s="183">
        <f>(AZ12+BH12+BP12)+SUM(C12:H12)</f>
        <v>1690</v>
      </c>
      <c r="C12" s="169"/>
      <c r="D12" s="169"/>
      <c r="E12" s="169"/>
      <c r="F12" s="169"/>
      <c r="G12" s="169"/>
      <c r="H12" s="169"/>
      <c r="I12" s="183">
        <f t="shared" si="8"/>
        <v>1627.7118317513766</v>
      </c>
      <c r="J12" s="184"/>
      <c r="K12" s="184"/>
      <c r="L12" s="184"/>
      <c r="M12" s="184"/>
      <c r="N12" s="184"/>
      <c r="O12" s="184"/>
      <c r="P12" s="183">
        <f t="shared" si="0"/>
        <v>1716.8891701438101</v>
      </c>
      <c r="Q12" s="169"/>
      <c r="R12" s="169"/>
      <c r="S12" s="169"/>
      <c r="T12" s="169"/>
      <c r="U12" s="176"/>
      <c r="V12" s="169"/>
      <c r="W12" s="176">
        <f t="shared" ref="W12" si="9">(BC12+BK12+BS12)</f>
        <v>1810.9599215301325</v>
      </c>
      <c r="X12" s="169"/>
      <c r="Y12" s="169"/>
      <c r="Z12" s="169"/>
      <c r="AA12" s="169"/>
      <c r="AB12" s="169"/>
      <c r="AC12" s="169"/>
      <c r="AD12" s="360">
        <f>(BD12+BL12+BT12)</f>
        <v>1910.1930165941233</v>
      </c>
      <c r="AE12" s="169"/>
      <c r="AF12" s="169"/>
      <c r="AG12" s="169"/>
      <c r="AH12" s="169"/>
      <c r="AI12" s="169"/>
      <c r="AJ12" s="169"/>
      <c r="AK12" s="176">
        <f>(BE12+BM12+BU12)</f>
        <v>2014.8721884556253</v>
      </c>
      <c r="AL12" s="169"/>
      <c r="AM12" s="169"/>
      <c r="AN12" s="169"/>
      <c r="AO12" s="169"/>
      <c r="AP12" s="169"/>
      <c r="AQ12" s="169"/>
      <c r="AR12" s="176">
        <f t="shared" ref="AR12:AR18" si="10">(BF12+BN12+BV12)</f>
        <v>2125.2967886629513</v>
      </c>
      <c r="AS12" s="169"/>
      <c r="AT12" s="169"/>
      <c r="AU12" s="169"/>
      <c r="AV12" s="169"/>
      <c r="AW12" s="169"/>
      <c r="AX12" s="169"/>
      <c r="AY12" s="169"/>
      <c r="AZ12" s="185">
        <v>190</v>
      </c>
      <c r="BA12" s="185">
        <v>189.36247077846184</v>
      </c>
      <c r="BB12" s="186">
        <v>198.83059431738494</v>
      </c>
      <c r="BC12" s="186">
        <v>208.77212403325419</v>
      </c>
      <c r="BD12" s="186">
        <v>219.21073023491689</v>
      </c>
      <c r="BE12" s="186">
        <v>230.17126674666275</v>
      </c>
      <c r="BF12" s="186">
        <v>241.67983008399591</v>
      </c>
      <c r="BG12" s="169"/>
      <c r="BH12" s="187">
        <v>1400</v>
      </c>
      <c r="BI12" s="187">
        <v>1318.3493609729148</v>
      </c>
      <c r="BJ12" s="186">
        <v>1390.8585758264251</v>
      </c>
      <c r="BK12" s="186">
        <v>1467.3557974968783</v>
      </c>
      <c r="BL12" s="186">
        <v>1548.0603663592065</v>
      </c>
      <c r="BM12" s="186">
        <v>1633.2036865089626</v>
      </c>
      <c r="BN12" s="186">
        <v>1723.0298892669555</v>
      </c>
      <c r="BO12" s="169"/>
      <c r="BP12" s="187">
        <v>100</v>
      </c>
      <c r="BQ12" s="188">
        <v>120</v>
      </c>
      <c r="BR12" s="186">
        <v>127.2</v>
      </c>
      <c r="BS12" s="186">
        <v>134.83200000000002</v>
      </c>
      <c r="BT12" s="186">
        <v>142.92192000000003</v>
      </c>
      <c r="BU12" s="186">
        <v>151.49723520000003</v>
      </c>
      <c r="BV12" s="186">
        <v>160.58706931200004</v>
      </c>
      <c r="BW12" s="169"/>
      <c r="BX12" s="187">
        <v>50</v>
      </c>
      <c r="BY12" s="188">
        <v>54.444444444444443</v>
      </c>
      <c r="BZ12" s="186">
        <v>56.62222222222222</v>
      </c>
      <c r="CA12" s="186">
        <v>58.887111111111111</v>
      </c>
      <c r="CB12" s="186">
        <v>61.24259555555556</v>
      </c>
      <c r="CC12" s="186">
        <v>63.692299377777786</v>
      </c>
      <c r="CD12" s="186">
        <v>66.239991352888893</v>
      </c>
      <c r="CE12" s="169"/>
    </row>
    <row r="13" spans="1:83" ht="16" x14ac:dyDescent="0.2">
      <c r="A13" s="174" t="s">
        <v>51</v>
      </c>
      <c r="B13" s="175">
        <f>B3-B9</f>
        <v>64841</v>
      </c>
      <c r="C13" s="169"/>
      <c r="D13" s="169"/>
      <c r="E13" s="169"/>
      <c r="F13" s="169"/>
      <c r="G13" s="169"/>
      <c r="H13" s="169"/>
      <c r="I13" s="175">
        <f>I3-I9</f>
        <v>66012.964766896563</v>
      </c>
      <c r="J13" s="184"/>
      <c r="K13" s="184"/>
      <c r="L13" s="184"/>
      <c r="M13" s="184"/>
      <c r="N13" s="184"/>
      <c r="O13" s="184"/>
      <c r="P13" s="228">
        <f>P3-P9</f>
        <v>80152.259170671445</v>
      </c>
      <c r="Q13" s="169"/>
      <c r="R13" s="169"/>
      <c r="S13" s="169"/>
      <c r="T13" s="169"/>
      <c r="U13" s="169"/>
      <c r="V13" s="169"/>
      <c r="W13" s="228">
        <f>W3-W9</f>
        <v>98382.67019423157</v>
      </c>
      <c r="X13" s="169"/>
      <c r="Y13" s="169"/>
      <c r="Z13" s="169"/>
      <c r="AA13" s="169"/>
      <c r="AB13" s="169"/>
      <c r="AC13" s="169"/>
      <c r="AD13" s="359">
        <f>AD3-AD9</f>
        <v>121804.37427383821</v>
      </c>
      <c r="AE13" s="169"/>
      <c r="AF13" s="169"/>
      <c r="AG13" s="169"/>
      <c r="AH13" s="169"/>
      <c r="AI13" s="169"/>
      <c r="AJ13" s="169"/>
      <c r="AK13" s="228">
        <f>AK3-AK9</f>
        <v>153136.91114827606</v>
      </c>
      <c r="AL13" s="169"/>
      <c r="AM13" s="169"/>
      <c r="AN13" s="169"/>
      <c r="AO13" s="169"/>
      <c r="AP13" s="169"/>
      <c r="AQ13" s="169"/>
      <c r="AR13" s="228">
        <f>AR3-AR9</f>
        <v>193999.38968152838</v>
      </c>
      <c r="AS13" s="169"/>
      <c r="AT13" s="169"/>
      <c r="AU13" s="169"/>
      <c r="AV13" s="169"/>
      <c r="AW13" s="169"/>
      <c r="AX13" s="169"/>
      <c r="AY13" s="169"/>
      <c r="AZ13" s="178">
        <v>34100</v>
      </c>
      <c r="BA13" s="178">
        <v>34137</v>
      </c>
      <c r="BB13" s="179">
        <v>39393.277933666657</v>
      </c>
      <c r="BC13" s="179">
        <v>45685.455962436659</v>
      </c>
      <c r="BD13" s="179">
        <v>53184.962683758757</v>
      </c>
      <c r="BE13" s="179">
        <v>62090.106211196784</v>
      </c>
      <c r="BF13" s="179">
        <v>72630.20806697302</v>
      </c>
      <c r="BG13" s="169"/>
      <c r="BH13" s="179">
        <v>22200</v>
      </c>
      <c r="BI13" s="179">
        <v>22903.964766896555</v>
      </c>
      <c r="BJ13" s="179">
        <v>27822.836237004798</v>
      </c>
      <c r="BK13" s="179">
        <v>33736.913981794918</v>
      </c>
      <c r="BL13" s="179">
        <v>40842.093400079473</v>
      </c>
      <c r="BM13" s="179">
        <v>49372.215563179278</v>
      </c>
      <c r="BN13" s="181">
        <v>59606.338951696358</v>
      </c>
      <c r="BO13" s="169"/>
      <c r="BP13" s="179">
        <v>8750</v>
      </c>
      <c r="BQ13" s="179">
        <v>9181</v>
      </c>
      <c r="BR13" s="179">
        <v>13162.744999999999</v>
      </c>
      <c r="BS13" s="179">
        <v>19204.555250000001</v>
      </c>
      <c r="BT13" s="179">
        <v>28039.285939999998</v>
      </c>
      <c r="BU13" s="179">
        <v>41954.330511399996</v>
      </c>
      <c r="BV13" s="180">
        <v>62060.420857234014</v>
      </c>
      <c r="BW13" s="169"/>
      <c r="BX13" s="179">
        <v>6150</v>
      </c>
      <c r="BY13" s="179">
        <v>5490.7511111111116</v>
      </c>
      <c r="BZ13" s="179">
        <v>6303.4880633333341</v>
      </c>
      <c r="CA13" s="179">
        <v>7221.5626627894444</v>
      </c>
      <c r="CB13" s="179">
        <v>8258.0762785131665</v>
      </c>
      <c r="CC13" s="179">
        <v>9427.7365496983111</v>
      </c>
      <c r="CD13" s="180">
        <v>10747.053299881321</v>
      </c>
      <c r="CE13" s="169"/>
    </row>
    <row r="14" spans="1:83" ht="16" x14ac:dyDescent="0.2">
      <c r="A14" s="174" t="s">
        <v>52</v>
      </c>
      <c r="B14" s="175">
        <f>SUM(B15:B19)</f>
        <v>38032</v>
      </c>
      <c r="C14" s="169"/>
      <c r="D14" s="169"/>
      <c r="E14" s="169"/>
      <c r="F14" s="169"/>
      <c r="G14" s="169"/>
      <c r="H14" s="169"/>
      <c r="I14" s="175">
        <f>SUM(I15:I19)</f>
        <v>38479.669027310345</v>
      </c>
      <c r="J14" s="184"/>
      <c r="K14" s="184"/>
      <c r="L14" s="184"/>
      <c r="M14" s="184"/>
      <c r="N14" s="184"/>
      <c r="O14" s="184"/>
      <c r="P14" s="228">
        <f>SUM(P15:P19)</f>
        <v>41615.091277448984</v>
      </c>
      <c r="Q14" s="169"/>
      <c r="R14" s="169"/>
      <c r="S14" s="169"/>
      <c r="T14" s="169"/>
      <c r="U14" s="169"/>
      <c r="V14" s="169"/>
      <c r="W14" s="228">
        <f>SUM(W15:W19)</f>
        <v>44770.25233514826</v>
      </c>
      <c r="X14" s="169"/>
      <c r="Y14" s="169"/>
      <c r="Z14" s="169"/>
      <c r="AA14" s="169"/>
      <c r="AB14" s="169"/>
      <c r="AC14" s="169"/>
      <c r="AD14" s="359">
        <f>SUM(AD15:AD19)</f>
        <v>48203.285199579106</v>
      </c>
      <c r="AE14" s="169"/>
      <c r="AF14" s="169"/>
      <c r="AG14" s="169"/>
      <c r="AH14" s="169"/>
      <c r="AI14" s="169"/>
      <c r="AJ14" s="169"/>
      <c r="AK14" s="228">
        <f>SUM(AK15:AK19)</f>
        <v>51942.289843018181</v>
      </c>
      <c r="AL14" s="169"/>
      <c r="AM14" s="169"/>
      <c r="AN14" s="169"/>
      <c r="AO14" s="169"/>
      <c r="AP14" s="169"/>
      <c r="AQ14" s="169"/>
      <c r="AR14" s="228">
        <f>SUM(AR15:AR19)</f>
        <v>56200.830141321152</v>
      </c>
      <c r="AS14" s="169"/>
      <c r="AT14" s="169"/>
      <c r="AU14" s="169"/>
      <c r="AV14" s="169"/>
      <c r="AW14" s="169"/>
      <c r="AX14" s="169"/>
      <c r="AY14" s="169"/>
      <c r="AZ14" s="178">
        <v>15614</v>
      </c>
      <c r="BA14" s="178">
        <v>15549</v>
      </c>
      <c r="BB14" s="179">
        <v>16723.396677605942</v>
      </c>
      <c r="BC14" s="179">
        <v>17694.80784196109</v>
      </c>
      <c r="BD14" s="179">
        <v>18689.512204589199</v>
      </c>
      <c r="BE14" s="179">
        <v>19698.537618438939</v>
      </c>
      <c r="BF14" s="180">
        <v>20710.006434848034</v>
      </c>
      <c r="BG14" s="169"/>
      <c r="BH14" s="179">
        <v>13878</v>
      </c>
      <c r="BI14" s="179">
        <v>14001.669027310347</v>
      </c>
      <c r="BJ14" s="179">
        <v>14840.864599843035</v>
      </c>
      <c r="BK14" s="179">
        <v>15731.053193187166</v>
      </c>
      <c r="BL14" s="179">
        <v>16675.378031989916</v>
      </c>
      <c r="BM14" s="179">
        <v>17677.178920849241</v>
      </c>
      <c r="BN14" s="181">
        <v>18740.004715392824</v>
      </c>
      <c r="BO14" s="169"/>
      <c r="BP14" s="179">
        <v>8749</v>
      </c>
      <c r="BQ14" s="179">
        <v>9138</v>
      </c>
      <c r="BR14" s="179">
        <v>10277.43</v>
      </c>
      <c r="BS14" s="179">
        <v>11588.6463</v>
      </c>
      <c r="BT14" s="179">
        <v>13100.362713</v>
      </c>
      <c r="BU14" s="179">
        <v>14846.314441230001</v>
      </c>
      <c r="BV14" s="180">
        <v>17048.397185455298</v>
      </c>
      <c r="BW14" s="169"/>
      <c r="BX14" s="179">
        <v>3945</v>
      </c>
      <c r="BY14" s="179">
        <v>3944.4444444444443</v>
      </c>
      <c r="BZ14" s="179">
        <v>4136.4444444444443</v>
      </c>
      <c r="CA14" s="179">
        <v>4338.4894444444444</v>
      </c>
      <c r="CB14" s="179">
        <v>4551.1619194444438</v>
      </c>
      <c r="CC14" s="179">
        <v>4775.0824563194437</v>
      </c>
      <c r="CD14" s="180">
        <v>5010.9125462988186</v>
      </c>
      <c r="CE14" s="169"/>
    </row>
    <row r="15" spans="1:83" ht="16" x14ac:dyDescent="0.2">
      <c r="A15" s="182" t="s">
        <v>53</v>
      </c>
      <c r="B15" s="183">
        <f>(AZ15+BH15+BP15)+SUM(C15:H15)</f>
        <v>14623</v>
      </c>
      <c r="C15" s="169"/>
      <c r="D15" s="169"/>
      <c r="E15" s="176">
        <f>-Вводные!D25</f>
        <v>-77</v>
      </c>
      <c r="F15" s="169"/>
      <c r="G15" s="169"/>
      <c r="H15" s="169"/>
      <c r="I15" s="183">
        <f t="shared" ref="I15:I19" si="11">(BA15+BI15+BQ15)+SUM(J15:O15)</f>
        <v>14650.085068708046</v>
      </c>
      <c r="J15" s="184"/>
      <c r="K15" s="184"/>
      <c r="L15" s="183">
        <f>-Вводные!D25</f>
        <v>-77</v>
      </c>
      <c r="M15" s="184"/>
      <c r="N15" s="184"/>
      <c r="O15" s="184"/>
      <c r="P15" s="183">
        <f t="shared" ref="P15:P19" si="12">(BB15+BJ15+BR15)+SUM(Q15:V15)</f>
        <v>15595.929356850942</v>
      </c>
      <c r="Q15" s="169"/>
      <c r="R15" s="169"/>
      <c r="S15" s="176">
        <f>-Вводные!E25</f>
        <v>-88</v>
      </c>
      <c r="T15" s="169"/>
      <c r="U15" s="169"/>
      <c r="V15" s="169"/>
      <c r="W15" s="176">
        <f t="shared" ref="W15" si="13">(BC15+BK15+BS15)+SUM(X15:AC15)</f>
        <v>16604.309645163845</v>
      </c>
      <c r="X15" s="169"/>
      <c r="Y15" s="169"/>
      <c r="Z15" s="176">
        <f>-Вводные!F25</f>
        <v>-99</v>
      </c>
      <c r="AA15" s="169"/>
      <c r="AB15" s="169"/>
      <c r="AC15" s="169"/>
      <c r="AD15" s="360">
        <f t="shared" ref="AD15" si="14">(BD15+BL15+BT15)+SUM(AE15:AJ15)</f>
        <v>17679.336867658647</v>
      </c>
      <c r="AE15" s="169"/>
      <c r="AF15" s="169"/>
      <c r="AG15" s="176">
        <f>-Вводные!G25</f>
        <v>-110</v>
      </c>
      <c r="AH15" s="169"/>
      <c r="AI15" s="169"/>
      <c r="AJ15" s="169"/>
      <c r="AK15" s="176">
        <f t="shared" ref="AK15" si="15">(BE15+BM15+BU15)+SUM(AL15:AQ15)</f>
        <v>18825.393728568088</v>
      </c>
      <c r="AL15" s="169"/>
      <c r="AM15" s="169"/>
      <c r="AN15" s="176">
        <f>-Вводные!H25</f>
        <v>-121</v>
      </c>
      <c r="AO15" s="169"/>
      <c r="AP15" s="169"/>
      <c r="AQ15" s="169"/>
      <c r="AR15" s="176">
        <f t="shared" ref="AR15" si="16">(BF15+BN15+BV15)+SUM(AS15:AX15)</f>
        <v>20047.15276655159</v>
      </c>
      <c r="AS15" s="169"/>
      <c r="AT15" s="169"/>
      <c r="AU15" s="176">
        <f>-Вводные!I25</f>
        <v>-132</v>
      </c>
      <c r="AV15" s="169"/>
      <c r="AW15" s="169"/>
      <c r="AX15" s="169"/>
      <c r="AY15" s="169"/>
      <c r="AZ15" s="185">
        <v>7400</v>
      </c>
      <c r="BA15" s="185">
        <v>7405.166666666667</v>
      </c>
      <c r="BB15" s="186">
        <v>7849.4766666666674</v>
      </c>
      <c r="BC15" s="186">
        <v>8320.4452666666675</v>
      </c>
      <c r="BD15" s="186">
        <v>8819.6719826666686</v>
      </c>
      <c r="BE15" s="186">
        <v>9348.8523016266699</v>
      </c>
      <c r="BF15" s="186">
        <v>9909.7834397242714</v>
      </c>
      <c r="BG15" s="169"/>
      <c r="BH15" s="187">
        <v>4600</v>
      </c>
      <c r="BI15" s="187">
        <v>4606.9184020413795</v>
      </c>
      <c r="BJ15" s="186">
        <v>4929.4026901842763</v>
      </c>
      <c r="BK15" s="186">
        <v>5274.4608784971761</v>
      </c>
      <c r="BL15" s="186">
        <v>5643.673139991979</v>
      </c>
      <c r="BM15" s="186">
        <v>6038.7302597914177</v>
      </c>
      <c r="BN15" s="186">
        <v>6461.4413779768174</v>
      </c>
      <c r="BO15" s="169"/>
      <c r="BP15" s="187">
        <v>2700</v>
      </c>
      <c r="BQ15" s="188">
        <v>2715</v>
      </c>
      <c r="BR15" s="186">
        <v>2905.05</v>
      </c>
      <c r="BS15" s="186">
        <v>3108.4035000000003</v>
      </c>
      <c r="BT15" s="186">
        <v>3325.9917450000007</v>
      </c>
      <c r="BU15" s="186">
        <v>3558.811167150001</v>
      </c>
      <c r="BV15" s="186">
        <v>3807.9279488505013</v>
      </c>
      <c r="BW15" s="169"/>
      <c r="BX15" s="187">
        <v>3180</v>
      </c>
      <c r="BY15" s="188">
        <v>3177.7777777777778</v>
      </c>
      <c r="BZ15" s="186">
        <v>3320.7777777777778</v>
      </c>
      <c r="CA15" s="186">
        <v>3470.2127777777778</v>
      </c>
      <c r="CB15" s="186">
        <v>3626.3723527777775</v>
      </c>
      <c r="CC15" s="186">
        <v>3789.559108652777</v>
      </c>
      <c r="CD15" s="186">
        <v>3960.0892685421518</v>
      </c>
      <c r="CE15" s="169"/>
    </row>
    <row r="16" spans="1:83" ht="16" x14ac:dyDescent="0.2">
      <c r="A16" s="182" t="s">
        <v>54</v>
      </c>
      <c r="B16" s="183">
        <f>(AZ16+BH16+BP16)+SUM(C16:H16)</f>
        <v>2191</v>
      </c>
      <c r="C16" s="169"/>
      <c r="D16" s="169"/>
      <c r="E16" s="169"/>
      <c r="F16" s="169"/>
      <c r="G16" s="169"/>
      <c r="H16" s="169"/>
      <c r="I16" s="183">
        <f t="shared" si="11"/>
        <v>2190.7038348505748</v>
      </c>
      <c r="J16" s="184"/>
      <c r="K16" s="184"/>
      <c r="L16" s="184"/>
      <c r="M16" s="184"/>
      <c r="N16" s="184"/>
      <c r="O16" s="184"/>
      <c r="P16" s="183">
        <f t="shared" si="12"/>
        <v>2309.6183791006897</v>
      </c>
      <c r="Q16" s="169"/>
      <c r="R16" s="169"/>
      <c r="S16" s="169"/>
      <c r="T16" s="169"/>
      <c r="U16" s="169"/>
      <c r="V16" s="169"/>
      <c r="W16" s="176">
        <f t="shared" ref="W16:W18" si="17">(BC16+BK16+BS16)</f>
        <v>2435.0219649512273</v>
      </c>
      <c r="X16" s="169"/>
      <c r="Y16" s="169"/>
      <c r="Z16" s="169"/>
      <c r="AA16" s="169"/>
      <c r="AB16" s="169"/>
      <c r="AC16" s="169"/>
      <c r="AD16" s="360">
        <f t="shared" ref="AD16:AD18" si="18">(BD16+BL16+BT16)</f>
        <v>2567.270573773545</v>
      </c>
      <c r="AE16" s="169"/>
      <c r="AF16" s="169"/>
      <c r="AG16" s="169"/>
      <c r="AH16" s="169"/>
      <c r="AI16" s="169"/>
      <c r="AJ16" s="169"/>
      <c r="AK16" s="176">
        <f t="shared" ref="AK16:AK18" si="19">(BE16+BM16+BU16)</f>
        <v>2706.7398189385904</v>
      </c>
      <c r="AL16" s="169"/>
      <c r="AM16" s="169"/>
      <c r="AN16" s="169"/>
      <c r="AO16" s="169"/>
      <c r="AP16" s="169"/>
      <c r="AQ16" s="169"/>
      <c r="AR16" s="176">
        <f t="shared" si="10"/>
        <v>2853.8260341572877</v>
      </c>
      <c r="AS16" s="169"/>
      <c r="AT16" s="169"/>
      <c r="AU16" s="169"/>
      <c r="AV16" s="169"/>
      <c r="AW16" s="169"/>
      <c r="AX16" s="169"/>
      <c r="AY16" s="169"/>
      <c r="AZ16" s="185">
        <v>864</v>
      </c>
      <c r="BA16" s="185">
        <v>863.83333333333314</v>
      </c>
      <c r="BB16" s="186">
        <v>907.02499999999986</v>
      </c>
      <c r="BC16" s="186">
        <v>952.37624999999991</v>
      </c>
      <c r="BD16" s="186">
        <v>999.9950624999999</v>
      </c>
      <c r="BE16" s="186">
        <v>1049.994815625</v>
      </c>
      <c r="BF16" s="186">
        <v>1102.49455640625</v>
      </c>
      <c r="BG16" s="169"/>
      <c r="BH16" s="187">
        <v>778</v>
      </c>
      <c r="BI16" s="187">
        <v>777.87050151724145</v>
      </c>
      <c r="BJ16" s="186">
        <v>820.65337910068968</v>
      </c>
      <c r="BK16" s="186">
        <v>865.78931495122754</v>
      </c>
      <c r="BL16" s="186">
        <v>913.40772727354499</v>
      </c>
      <c r="BM16" s="186">
        <v>963.64515227358993</v>
      </c>
      <c r="BN16" s="186">
        <v>1016.6456356486373</v>
      </c>
      <c r="BO16" s="169"/>
      <c r="BP16" s="187">
        <v>549</v>
      </c>
      <c r="BQ16" s="188">
        <v>549</v>
      </c>
      <c r="BR16" s="186">
        <v>581.94000000000005</v>
      </c>
      <c r="BS16" s="186">
        <v>616.85640000000012</v>
      </c>
      <c r="BT16" s="186">
        <v>653.86778400000014</v>
      </c>
      <c r="BU16" s="186">
        <v>693.0998510400002</v>
      </c>
      <c r="BV16" s="186">
        <v>734.68584210240022</v>
      </c>
      <c r="BW16" s="169"/>
      <c r="BX16" s="187">
        <v>200</v>
      </c>
      <c r="BY16" s="188">
        <v>200</v>
      </c>
      <c r="BZ16" s="186">
        <v>208</v>
      </c>
      <c r="CA16" s="186">
        <v>216.32</v>
      </c>
      <c r="CB16" s="186">
        <v>224.97280000000001</v>
      </c>
      <c r="CC16" s="186">
        <v>233.97171200000003</v>
      </c>
      <c r="CD16" s="186">
        <v>243.33058048000004</v>
      </c>
      <c r="CE16" s="169"/>
    </row>
    <row r="17" spans="1:83" ht="16" x14ac:dyDescent="0.2">
      <c r="A17" s="182" t="s">
        <v>55</v>
      </c>
      <c r="B17" s="183">
        <f>(AZ17+BH17+BP17)+SUM(C17:H17)</f>
        <v>15000</v>
      </c>
      <c r="C17" s="169"/>
      <c r="D17" s="169"/>
      <c r="E17" s="169"/>
      <c r="F17" s="169"/>
      <c r="G17" s="169"/>
      <c r="H17" s="169"/>
      <c r="I17" s="183">
        <f t="shared" si="11"/>
        <v>15338.189430068967</v>
      </c>
      <c r="J17" s="184"/>
      <c r="K17" s="184"/>
      <c r="L17" s="184"/>
      <c r="M17" s="184"/>
      <c r="N17" s="184"/>
      <c r="O17" s="184"/>
      <c r="P17" s="183">
        <f t="shared" si="12"/>
        <v>17073.349859662037</v>
      </c>
      <c r="Q17" s="169"/>
      <c r="R17" s="169"/>
      <c r="S17" s="169"/>
      <c r="T17" s="169"/>
      <c r="U17" s="169"/>
      <c r="V17" s="169"/>
      <c r="W17" s="176">
        <f t="shared" si="17"/>
        <v>18740.989440696936</v>
      </c>
      <c r="X17" s="169"/>
      <c r="Y17" s="169"/>
      <c r="Z17" s="169"/>
      <c r="AA17" s="169"/>
      <c r="AB17" s="169"/>
      <c r="AC17" s="169"/>
      <c r="AD17" s="360">
        <f t="shared" si="18"/>
        <v>20593.793858672176</v>
      </c>
      <c r="AE17" s="169"/>
      <c r="AF17" s="169"/>
      <c r="AG17" s="169"/>
      <c r="AH17" s="169"/>
      <c r="AI17" s="169"/>
      <c r="AJ17" s="169"/>
      <c r="AK17" s="176">
        <f t="shared" si="19"/>
        <v>22654.071362020648</v>
      </c>
      <c r="AL17" s="169"/>
      <c r="AM17" s="169"/>
      <c r="AN17" s="169"/>
      <c r="AO17" s="169"/>
      <c r="AP17" s="169"/>
      <c r="AQ17" s="169"/>
      <c r="AR17" s="176">
        <f t="shared" si="10"/>
        <v>25129.227657617972</v>
      </c>
      <c r="AS17" s="169"/>
      <c r="AT17" s="169"/>
      <c r="AU17" s="169"/>
      <c r="AV17" s="169"/>
      <c r="AW17" s="169"/>
      <c r="AX17" s="169"/>
      <c r="AY17" s="169"/>
      <c r="AZ17" s="185">
        <v>3800</v>
      </c>
      <c r="BA17" s="185">
        <v>3767</v>
      </c>
      <c r="BB17" s="186">
        <v>4278.2450109392785</v>
      </c>
      <c r="BC17" s="186">
        <v>4548.9038252944247</v>
      </c>
      <c r="BD17" s="186">
        <v>4803.1085344225276</v>
      </c>
      <c r="BE17" s="186">
        <v>5029.6170449372694</v>
      </c>
      <c r="BF17" s="186">
        <v>5214.1513096550098</v>
      </c>
      <c r="BG17" s="169"/>
      <c r="BH17" s="187">
        <v>6800</v>
      </c>
      <c r="BI17" s="187">
        <v>6871.1894300689673</v>
      </c>
      <c r="BJ17" s="186">
        <v>7249.1048487227599</v>
      </c>
      <c r="BK17" s="186">
        <v>7647.8056154025116</v>
      </c>
      <c r="BL17" s="186">
        <v>8068.4349242496492</v>
      </c>
      <c r="BM17" s="186">
        <v>8512.1988450833796</v>
      </c>
      <c r="BN17" s="186">
        <v>8980.3697815629657</v>
      </c>
      <c r="BO17" s="169"/>
      <c r="BP17" s="187">
        <v>4400</v>
      </c>
      <c r="BQ17" s="188">
        <v>4700</v>
      </c>
      <c r="BR17" s="186">
        <v>5546</v>
      </c>
      <c r="BS17" s="186">
        <v>6544.28</v>
      </c>
      <c r="BT17" s="186">
        <v>7722.250399999999</v>
      </c>
      <c r="BU17" s="186">
        <v>9112.2554719999989</v>
      </c>
      <c r="BV17" s="186">
        <v>10934.706566399998</v>
      </c>
      <c r="BW17" s="169"/>
      <c r="BX17" s="187">
        <v>360</v>
      </c>
      <c r="BY17" s="188">
        <v>366.66666666666669</v>
      </c>
      <c r="BZ17" s="186">
        <v>399.66666666666674</v>
      </c>
      <c r="CA17" s="186">
        <v>435.63666666666677</v>
      </c>
      <c r="CB17" s="186">
        <v>474.8439666666668</v>
      </c>
      <c r="CC17" s="186">
        <v>517.5799236666669</v>
      </c>
      <c r="CD17" s="186">
        <v>564.16211679666696</v>
      </c>
      <c r="CE17" s="169"/>
    </row>
    <row r="18" spans="1:83" ht="16" x14ac:dyDescent="0.2">
      <c r="A18" s="182" t="s">
        <v>49</v>
      </c>
      <c r="B18" s="183">
        <f>(AZ18+BH18+BP18)+SUM(C18:H18)</f>
        <v>4850</v>
      </c>
      <c r="C18" s="169"/>
      <c r="D18" s="169"/>
      <c r="E18" s="169"/>
      <c r="F18" s="169"/>
      <c r="G18" s="169"/>
      <c r="H18" s="169"/>
      <c r="I18" s="183">
        <f t="shared" si="11"/>
        <v>4910.7410030344827</v>
      </c>
      <c r="J18" s="184"/>
      <c r="K18" s="184"/>
      <c r="L18" s="184"/>
      <c r="M18" s="184"/>
      <c r="N18" s="184"/>
      <c r="O18" s="184"/>
      <c r="P18" s="183">
        <f t="shared" si="12"/>
        <v>5174.2967582013789</v>
      </c>
      <c r="Q18" s="169"/>
      <c r="R18" s="169"/>
      <c r="S18" s="169"/>
      <c r="T18" s="169"/>
      <c r="U18" s="169"/>
      <c r="V18" s="169"/>
      <c r="W18" s="176">
        <f t="shared" si="17"/>
        <v>5452.0725299024562</v>
      </c>
      <c r="X18" s="169"/>
      <c r="Y18" s="169"/>
      <c r="Z18" s="169"/>
      <c r="AA18" s="169"/>
      <c r="AB18" s="169"/>
      <c r="AC18" s="169"/>
      <c r="AD18" s="360">
        <f t="shared" si="18"/>
        <v>5744.8397135470905</v>
      </c>
      <c r="AE18" s="169"/>
      <c r="AF18" s="169"/>
      <c r="AG18" s="169"/>
      <c r="AH18" s="169"/>
      <c r="AI18" s="169"/>
      <c r="AJ18" s="169"/>
      <c r="AK18" s="176">
        <f t="shared" si="19"/>
        <v>6053.411780337181</v>
      </c>
      <c r="AL18" s="169"/>
      <c r="AM18" s="169"/>
      <c r="AN18" s="169"/>
      <c r="AO18" s="169"/>
      <c r="AP18" s="169"/>
      <c r="AQ18" s="169"/>
      <c r="AR18" s="176">
        <f t="shared" si="10"/>
        <v>6378.6465849471751</v>
      </c>
      <c r="AS18" s="169"/>
      <c r="AT18" s="169"/>
      <c r="AU18" s="169"/>
      <c r="AV18" s="169"/>
      <c r="AW18" s="169"/>
      <c r="AX18" s="169"/>
      <c r="AY18" s="169"/>
      <c r="AZ18" s="185">
        <v>2350</v>
      </c>
      <c r="BA18" s="185">
        <v>2331</v>
      </c>
      <c r="BB18" s="186">
        <v>2447.5500000000002</v>
      </c>
      <c r="BC18" s="186">
        <v>2569.9275000000002</v>
      </c>
      <c r="BD18" s="186">
        <v>2698.4238750000004</v>
      </c>
      <c r="BE18" s="186">
        <v>2833.3450687500003</v>
      </c>
      <c r="BF18" s="186">
        <v>2975.0123221875006</v>
      </c>
      <c r="BG18" s="169"/>
      <c r="BH18" s="187">
        <v>1500</v>
      </c>
      <c r="BI18" s="187">
        <v>1555.7410030344829</v>
      </c>
      <c r="BJ18" s="186">
        <v>1641.3067582013794</v>
      </c>
      <c r="BK18" s="186">
        <v>1731.5786299024551</v>
      </c>
      <c r="BL18" s="186">
        <v>1826.81545454709</v>
      </c>
      <c r="BM18" s="186">
        <v>1927.2903045471799</v>
      </c>
      <c r="BN18" s="186">
        <v>2033.2912712972745</v>
      </c>
      <c r="BO18" s="169"/>
      <c r="BP18" s="187">
        <v>1000</v>
      </c>
      <c r="BQ18" s="188">
        <v>1024</v>
      </c>
      <c r="BR18" s="186">
        <v>1085.44</v>
      </c>
      <c r="BS18" s="186">
        <v>1150.5664000000002</v>
      </c>
      <c r="BT18" s="186">
        <v>1219.6003840000003</v>
      </c>
      <c r="BU18" s="186">
        <v>1292.7764070400003</v>
      </c>
      <c r="BV18" s="186">
        <v>1370.3429914624005</v>
      </c>
      <c r="BW18" s="169"/>
      <c r="BX18" s="187">
        <v>200</v>
      </c>
      <c r="BY18" s="188">
        <v>196</v>
      </c>
      <c r="BZ18" s="186">
        <v>203.84</v>
      </c>
      <c r="CA18" s="186">
        <v>211.99360000000001</v>
      </c>
      <c r="CB18" s="186">
        <v>220.47334400000003</v>
      </c>
      <c r="CC18" s="186">
        <v>229.29227776000005</v>
      </c>
      <c r="CD18" s="186">
        <v>238.46396887040007</v>
      </c>
      <c r="CE18" s="169"/>
    </row>
    <row r="19" spans="1:83" ht="16" x14ac:dyDescent="0.2">
      <c r="A19" s="182" t="s">
        <v>50</v>
      </c>
      <c r="B19" s="183">
        <f>(AZ19+BH19+BP19)+SUM(C19:H19)</f>
        <v>1368</v>
      </c>
      <c r="C19" s="176">
        <f>-Вводные!D23</f>
        <v>-110</v>
      </c>
      <c r="D19" s="169"/>
      <c r="E19" s="169"/>
      <c r="F19" s="176">
        <f>-Вводные!D26</f>
        <v>-22</v>
      </c>
      <c r="G19" s="169"/>
      <c r="H19" s="169"/>
      <c r="I19" s="183">
        <f t="shared" si="11"/>
        <v>1389.9496906482752</v>
      </c>
      <c r="J19" s="183">
        <f>-Вводные!D23</f>
        <v>-110</v>
      </c>
      <c r="K19" s="184"/>
      <c r="L19" s="183">
        <f>-Вводные!D26</f>
        <v>-22</v>
      </c>
      <c r="M19" s="184"/>
      <c r="N19" s="184"/>
      <c r="O19" s="184"/>
      <c r="P19" s="183">
        <f t="shared" si="12"/>
        <v>1461.8969236339306</v>
      </c>
      <c r="Q19" s="176">
        <f>-Вводные!E23</f>
        <v>-115.5</v>
      </c>
      <c r="R19" s="169"/>
      <c r="S19" s="176">
        <f>-Вводные!E26</f>
        <v>-23.1</v>
      </c>
      <c r="T19" s="169"/>
      <c r="U19" s="169"/>
      <c r="V19" s="169"/>
      <c r="W19" s="176">
        <f t="shared" ref="W19" si="20">(BC19+BK19+BS19)+SUM(X19:AC19)</f>
        <v>1537.8587544337965</v>
      </c>
      <c r="X19" s="176">
        <f>-Вводные!F23</f>
        <v>-121</v>
      </c>
      <c r="Y19" s="169"/>
      <c r="Z19" s="176">
        <f>-Вводные!F26</f>
        <v>-24.255000000000003</v>
      </c>
      <c r="AA19" s="169"/>
      <c r="AB19" s="169"/>
      <c r="AC19" s="169"/>
      <c r="AD19" s="360">
        <f t="shared" ref="AD19" si="21">(BD19+BL19+BT19)+SUM(AE19:AJ19)</f>
        <v>1618.0441859276555</v>
      </c>
      <c r="AE19" s="176">
        <f>-Вводные!G23</f>
        <v>-126.5</v>
      </c>
      <c r="AF19" s="169"/>
      <c r="AG19" s="176">
        <f>-Вводные!G26</f>
        <v>-25.467750000000002</v>
      </c>
      <c r="AH19" s="169"/>
      <c r="AI19" s="169"/>
      <c r="AJ19" s="169"/>
      <c r="AK19" s="176">
        <f t="shared" ref="AK19" si="22">(BE19+BM19+BU19)+SUM(AL19:AQ19)</f>
        <v>1702.6731531536768</v>
      </c>
      <c r="AL19" s="176">
        <f>-Вводные!H23</f>
        <v>-132</v>
      </c>
      <c r="AM19" s="169"/>
      <c r="AN19" s="176">
        <f>-Вводные!H26</f>
        <v>-26.741137500000004</v>
      </c>
      <c r="AO19" s="169"/>
      <c r="AP19" s="169"/>
      <c r="AQ19" s="169"/>
      <c r="AR19" s="176">
        <f t="shared" ref="AR19" si="23">(BF19+BN19+BV19)+SUM(AS19:AX19)</f>
        <v>1791.9770980471287</v>
      </c>
      <c r="AS19" s="176">
        <f>-Вводные!I23</f>
        <v>-137.5</v>
      </c>
      <c r="AT19" s="169"/>
      <c r="AU19" s="176">
        <f>-Вводные!I26</f>
        <v>-28.078194375000002</v>
      </c>
      <c r="AV19" s="169"/>
      <c r="AW19" s="169"/>
      <c r="AX19" s="169"/>
      <c r="AY19" s="169"/>
      <c r="AZ19" s="185">
        <v>1200</v>
      </c>
      <c r="BA19" s="185">
        <v>1182</v>
      </c>
      <c r="BB19" s="186">
        <v>1241.1000000000001</v>
      </c>
      <c r="BC19" s="186">
        <v>1303.1550000000002</v>
      </c>
      <c r="BD19" s="186">
        <v>1368.3127500000003</v>
      </c>
      <c r="BE19" s="186">
        <v>1436.7283875000003</v>
      </c>
      <c r="BF19" s="186">
        <v>1508.5648068750004</v>
      </c>
      <c r="BG19" s="186"/>
      <c r="BH19" s="187">
        <v>200</v>
      </c>
      <c r="BI19" s="187">
        <v>189.94969064827515</v>
      </c>
      <c r="BJ19" s="186">
        <v>200.39692363393027</v>
      </c>
      <c r="BK19" s="186">
        <v>211.41875443379644</v>
      </c>
      <c r="BL19" s="186">
        <v>223.04678592765524</v>
      </c>
      <c r="BM19" s="186">
        <v>235.31435915367626</v>
      </c>
      <c r="BN19" s="186">
        <v>248.25664890712844</v>
      </c>
      <c r="BO19" s="169"/>
      <c r="BP19" s="187">
        <v>100</v>
      </c>
      <c r="BQ19" s="188">
        <v>150</v>
      </c>
      <c r="BR19" s="186">
        <v>159</v>
      </c>
      <c r="BS19" s="186">
        <v>168.54000000000002</v>
      </c>
      <c r="BT19" s="186">
        <v>178.65240000000003</v>
      </c>
      <c r="BU19" s="186">
        <v>189.37154400000003</v>
      </c>
      <c r="BV19" s="186">
        <v>200.73383664000005</v>
      </c>
      <c r="BW19" s="169"/>
      <c r="BX19" s="187">
        <v>5</v>
      </c>
      <c r="BY19" s="188">
        <v>4</v>
      </c>
      <c r="BZ19" s="186">
        <v>4.16</v>
      </c>
      <c r="CA19" s="186">
        <v>4.3264000000000005</v>
      </c>
      <c r="CB19" s="186">
        <v>4.4994560000000003</v>
      </c>
      <c r="CC19" s="186">
        <v>4.6794342400000009</v>
      </c>
      <c r="CD19" s="186">
        <v>4.8666116096000014</v>
      </c>
      <c r="CE19" s="169"/>
    </row>
    <row r="20" spans="1:83" ht="16" x14ac:dyDescent="0.2">
      <c r="A20" s="174" t="s">
        <v>56</v>
      </c>
      <c r="B20" s="175">
        <f>B13-B14</f>
        <v>26809</v>
      </c>
      <c r="C20" s="169"/>
      <c r="D20" s="169"/>
      <c r="E20" s="169"/>
      <c r="F20" s="169"/>
      <c r="G20" s="169"/>
      <c r="H20" s="169"/>
      <c r="I20" s="175">
        <f>I13-I14</f>
        <v>27533.295739586218</v>
      </c>
      <c r="J20" s="184"/>
      <c r="K20" s="184"/>
      <c r="L20" s="184"/>
      <c r="M20" s="184"/>
      <c r="N20" s="184"/>
      <c r="O20" s="184"/>
      <c r="P20" s="228">
        <f>P13-P14</f>
        <v>38537.16789322246</v>
      </c>
      <c r="Q20" s="169"/>
      <c r="R20" s="169"/>
      <c r="S20" s="169"/>
      <c r="T20" s="169"/>
      <c r="U20" s="169"/>
      <c r="V20" s="169"/>
      <c r="W20" s="228">
        <f>W13-W14</f>
        <v>53612.417859083311</v>
      </c>
      <c r="X20" s="169"/>
      <c r="Y20" s="169"/>
      <c r="Z20" s="169"/>
      <c r="AA20" s="169"/>
      <c r="AB20" s="169"/>
      <c r="AC20" s="169"/>
      <c r="AD20" s="359">
        <f>AD13-AD14</f>
        <v>73601.0890742591</v>
      </c>
      <c r="AE20" s="169"/>
      <c r="AF20" s="169"/>
      <c r="AG20" s="169"/>
      <c r="AH20" s="169"/>
      <c r="AI20" s="169"/>
      <c r="AJ20" s="169"/>
      <c r="AK20" s="228">
        <f>AK13-AK14</f>
        <v>101194.62130525788</v>
      </c>
      <c r="AL20" s="169"/>
      <c r="AM20" s="169"/>
      <c r="AN20" s="169"/>
      <c r="AO20" s="169"/>
      <c r="AP20" s="169"/>
      <c r="AQ20" s="169"/>
      <c r="AR20" s="228">
        <f>AR13-AR14</f>
        <v>137798.55954020724</v>
      </c>
      <c r="AS20" s="169"/>
      <c r="AT20" s="169"/>
      <c r="AU20" s="169"/>
      <c r="AV20" s="169"/>
      <c r="AW20" s="169"/>
      <c r="AX20" s="169"/>
      <c r="AY20" s="169"/>
      <c r="AZ20" s="178">
        <v>18486</v>
      </c>
      <c r="BA20" s="178">
        <v>18588</v>
      </c>
      <c r="BB20" s="179">
        <v>22669.881256060715</v>
      </c>
      <c r="BC20" s="179">
        <v>27990.648120475569</v>
      </c>
      <c r="BD20" s="179">
        <v>34495.450479169558</v>
      </c>
      <c r="BE20" s="179">
        <v>42391.568592757845</v>
      </c>
      <c r="BF20" s="179">
        <v>51920.201632124983</v>
      </c>
      <c r="BG20" s="169"/>
      <c r="BH20" s="179">
        <v>8322</v>
      </c>
      <c r="BI20" s="179">
        <v>8902.2957395862086</v>
      </c>
      <c r="BJ20" s="179">
        <v>12981.971637161763</v>
      </c>
      <c r="BK20" s="179">
        <v>18005.860788607752</v>
      </c>
      <c r="BL20" s="179">
        <v>24166.715368089557</v>
      </c>
      <c r="BM20" s="179">
        <v>31695.036642330037</v>
      </c>
      <c r="BN20" s="181">
        <v>40866.334236303534</v>
      </c>
      <c r="BO20" s="169"/>
      <c r="BP20" s="179">
        <v>1</v>
      </c>
      <c r="BQ20" s="179">
        <v>43</v>
      </c>
      <c r="BR20" s="179">
        <v>2885.3149999999987</v>
      </c>
      <c r="BS20" s="179">
        <v>7615.9089500000009</v>
      </c>
      <c r="BT20" s="179">
        <v>14938.923226999997</v>
      </c>
      <c r="BU20" s="179">
        <v>27108.016070169993</v>
      </c>
      <c r="BV20" s="180">
        <v>45012.023671778719</v>
      </c>
      <c r="BW20" s="169"/>
      <c r="BX20" s="179">
        <v>2205</v>
      </c>
      <c r="BY20" s="179">
        <v>1546.3066666666673</v>
      </c>
      <c r="BZ20" s="179">
        <v>2167.0436188888898</v>
      </c>
      <c r="CA20" s="179">
        <v>2883.073218345</v>
      </c>
      <c r="CB20" s="179">
        <v>3706.9143590687227</v>
      </c>
      <c r="CC20" s="179">
        <v>4652.6540933788674</v>
      </c>
      <c r="CD20" s="180">
        <v>5736.1407535825028</v>
      </c>
      <c r="CE20" s="169"/>
    </row>
    <row r="21" spans="1:83" ht="16" x14ac:dyDescent="0.2">
      <c r="A21" s="174" t="s">
        <v>57</v>
      </c>
      <c r="B21" s="175">
        <f>SUM(B22:B24)</f>
        <v>2274.125</v>
      </c>
      <c r="C21" s="169"/>
      <c r="D21" s="169"/>
      <c r="E21" s="169"/>
      <c r="F21" s="169"/>
      <c r="G21" s="169"/>
      <c r="H21" s="169"/>
      <c r="I21" s="175">
        <f>SUM(I22:I24)</f>
        <v>2205.306275862069</v>
      </c>
      <c r="J21" s="184"/>
      <c r="K21" s="184"/>
      <c r="L21" s="184"/>
      <c r="M21" s="184"/>
      <c r="N21" s="184"/>
      <c r="O21" s="184"/>
      <c r="P21" s="228">
        <f>SUM(P22:P24)</f>
        <v>2370.2790901120688</v>
      </c>
      <c r="Q21" s="169"/>
      <c r="R21" s="169"/>
      <c r="S21" s="169"/>
      <c r="T21" s="169"/>
      <c r="U21" s="169"/>
      <c r="V21" s="169"/>
      <c r="W21" s="228">
        <f>SUM(W22:W24)</f>
        <v>2558.0176299896939</v>
      </c>
      <c r="X21" s="169"/>
      <c r="Y21" s="169"/>
      <c r="Z21" s="169"/>
      <c r="AA21" s="169"/>
      <c r="AB21" s="169"/>
      <c r="AC21" s="169"/>
      <c r="AD21" s="359">
        <f>SUM(AD22:AD24)</f>
        <v>2771.4081928525316</v>
      </c>
      <c r="AE21" s="169"/>
      <c r="AF21" s="169"/>
      <c r="AG21" s="169"/>
      <c r="AH21" s="169"/>
      <c r="AI21" s="169"/>
      <c r="AJ21" s="169"/>
      <c r="AK21" s="228">
        <f>SUM(AK22:AK24)</f>
        <v>3013.693572205314</v>
      </c>
      <c r="AL21" s="169"/>
      <c r="AM21" s="169"/>
      <c r="AN21" s="169"/>
      <c r="AO21" s="169"/>
      <c r="AP21" s="169"/>
      <c r="AQ21" s="169"/>
      <c r="AR21" s="228">
        <f>SUM(AR22:AR24)</f>
        <v>3288.5167032799272</v>
      </c>
      <c r="AS21" s="169"/>
      <c r="AT21" s="169"/>
      <c r="AU21" s="169"/>
      <c r="AV21" s="169"/>
      <c r="AW21" s="169"/>
      <c r="AX21" s="169"/>
      <c r="AY21" s="169"/>
      <c r="AZ21" s="178">
        <v>359</v>
      </c>
      <c r="BA21" s="178">
        <v>385</v>
      </c>
      <c r="BB21" s="179">
        <v>398.8</v>
      </c>
      <c r="BC21" s="179">
        <v>413.29</v>
      </c>
      <c r="BD21" s="179">
        <v>428.50450000000001</v>
      </c>
      <c r="BE21" s="179">
        <v>444.47972500000003</v>
      </c>
      <c r="BF21" s="179">
        <v>461.25371125000004</v>
      </c>
      <c r="BG21" s="169"/>
      <c r="BH21" s="179">
        <v>619</v>
      </c>
      <c r="BI21" s="179">
        <v>668.71227586206896</v>
      </c>
      <c r="BJ21" s="179">
        <v>679.71227586206896</v>
      </c>
      <c r="BK21" s="179">
        <v>691.31727586206898</v>
      </c>
      <c r="BL21" s="179">
        <v>703.56055086206902</v>
      </c>
      <c r="BM21" s="179">
        <v>716.47720598706894</v>
      </c>
      <c r="BN21" s="181">
        <v>730.10427714394393</v>
      </c>
      <c r="BO21" s="169"/>
      <c r="BP21" s="179">
        <v>800</v>
      </c>
      <c r="BQ21" s="179">
        <v>803</v>
      </c>
      <c r="BR21" s="179">
        <v>803.48</v>
      </c>
      <c r="BS21" s="179">
        <v>803.98879999999997</v>
      </c>
      <c r="BT21" s="179">
        <v>804.52812800000004</v>
      </c>
      <c r="BU21" s="179">
        <v>805.09981568000001</v>
      </c>
      <c r="BV21" s="180">
        <v>805.7058046208</v>
      </c>
      <c r="BW21" s="169"/>
      <c r="BX21" s="179">
        <v>10</v>
      </c>
      <c r="BY21" s="179">
        <v>15</v>
      </c>
      <c r="BZ21" s="179">
        <v>15.600000000000001</v>
      </c>
      <c r="CA21" s="179">
        <v>16.224000000000004</v>
      </c>
      <c r="CB21" s="179">
        <v>16.872960000000006</v>
      </c>
      <c r="CC21" s="179">
        <v>17.547878400000005</v>
      </c>
      <c r="CD21" s="180">
        <v>18.249793536000006</v>
      </c>
      <c r="CE21" s="169"/>
    </row>
    <row r="22" spans="1:83" s="364" customFormat="1" ht="16" x14ac:dyDescent="0.2">
      <c r="A22" s="367" t="s">
        <v>58</v>
      </c>
      <c r="B22" s="368">
        <f>(AZ22+BH22+BP22)+SUM(C22:H22)</f>
        <v>1373</v>
      </c>
      <c r="C22" s="369"/>
      <c r="D22" s="369"/>
      <c r="E22" s="369"/>
      <c r="F22" s="369"/>
      <c r="G22" s="369"/>
      <c r="H22" s="369"/>
      <c r="I22" s="368">
        <f t="shared" ref="I22:I23" si="24">(BA22+BI22+BQ22)+SUM(J22:O22)</f>
        <v>1372.712275862069</v>
      </c>
      <c r="J22" s="370"/>
      <c r="K22" s="370"/>
      <c r="L22" s="370"/>
      <c r="M22" s="370"/>
      <c r="N22" s="370"/>
      <c r="O22" s="370"/>
      <c r="P22" s="368">
        <f t="shared" ref="P22:P23" si="25">(BB22+BJ22+BR22)+SUM(Q22:V22)</f>
        <v>1372.712275862069</v>
      </c>
      <c r="Q22" s="369"/>
      <c r="R22" s="369"/>
      <c r="S22" s="369"/>
      <c r="T22" s="369"/>
      <c r="U22" s="369"/>
      <c r="V22" s="369"/>
      <c r="W22" s="360">
        <f t="shared" ref="W22:W23" si="26">(BC22+BK22+BS22)</f>
        <v>1372.712275862069</v>
      </c>
      <c r="X22" s="369"/>
      <c r="Y22" s="369"/>
      <c r="Z22" s="369"/>
      <c r="AA22" s="369"/>
      <c r="AB22" s="369"/>
      <c r="AC22" s="369"/>
      <c r="AD22" s="360">
        <f t="shared" ref="AD22:AD23" si="27">(BD22+BL22+BT22)</f>
        <v>1372.712275862069</v>
      </c>
      <c r="AE22" s="369"/>
      <c r="AF22" s="369"/>
      <c r="AG22" s="369"/>
      <c r="AH22" s="369"/>
      <c r="AI22" s="369"/>
      <c r="AJ22" s="369"/>
      <c r="AK22" s="360">
        <f t="shared" ref="AK22:AK23" si="28">(BE22+BM22+BU22)</f>
        <v>1372.712275862069</v>
      </c>
      <c r="AL22" s="369"/>
      <c r="AM22" s="369"/>
      <c r="AN22" s="369"/>
      <c r="AO22" s="369"/>
      <c r="AP22" s="369"/>
      <c r="AQ22" s="369"/>
      <c r="AR22" s="360">
        <f t="shared" ref="AR22:AR23" si="29">(BF22+BN22+BV22)</f>
        <v>1372.712275862069</v>
      </c>
      <c r="AS22" s="369"/>
      <c r="AT22" s="369"/>
      <c r="AU22" s="369"/>
      <c r="AV22" s="369"/>
      <c r="AW22" s="369"/>
      <c r="AX22" s="369"/>
      <c r="AY22" s="369"/>
      <c r="AZ22" s="371">
        <v>109</v>
      </c>
      <c r="BA22" s="371">
        <v>109</v>
      </c>
      <c r="BB22" s="371">
        <v>109</v>
      </c>
      <c r="BC22" s="371">
        <v>109</v>
      </c>
      <c r="BD22" s="371">
        <v>109</v>
      </c>
      <c r="BE22" s="371">
        <v>109</v>
      </c>
      <c r="BF22" s="371">
        <v>109</v>
      </c>
      <c r="BG22" s="369"/>
      <c r="BH22" s="372">
        <v>469</v>
      </c>
      <c r="BI22" s="372">
        <v>468.71227586206902</v>
      </c>
      <c r="BJ22" s="373">
        <v>468.71227586206902</v>
      </c>
      <c r="BK22" s="373">
        <v>468.71227586206902</v>
      </c>
      <c r="BL22" s="373">
        <v>468.71227586206902</v>
      </c>
      <c r="BM22" s="373">
        <v>468.71227586206902</v>
      </c>
      <c r="BN22" s="373">
        <v>468.71227586206902</v>
      </c>
      <c r="BO22" s="369"/>
      <c r="BP22" s="372">
        <v>795</v>
      </c>
      <c r="BQ22" s="374">
        <v>795</v>
      </c>
      <c r="BR22" s="373">
        <v>795</v>
      </c>
      <c r="BS22" s="373">
        <v>795</v>
      </c>
      <c r="BT22" s="373">
        <v>795</v>
      </c>
      <c r="BU22" s="373">
        <v>795</v>
      </c>
      <c r="BV22" s="373">
        <v>795</v>
      </c>
      <c r="BW22" s="369"/>
      <c r="BX22" s="372">
        <v>0</v>
      </c>
      <c r="BY22" s="374">
        <v>0</v>
      </c>
      <c r="BZ22" s="373">
        <v>0</v>
      </c>
      <c r="CA22" s="373">
        <v>0</v>
      </c>
      <c r="CB22" s="373">
        <v>0</v>
      </c>
      <c r="CC22" s="373">
        <v>0</v>
      </c>
      <c r="CD22" s="373">
        <v>0</v>
      </c>
      <c r="CE22" s="369"/>
    </row>
    <row r="23" spans="1:83" s="364" customFormat="1" ht="16" x14ac:dyDescent="0.2">
      <c r="A23" s="367" t="s">
        <v>59</v>
      </c>
      <c r="B23" s="368">
        <f>(AZ23+BH23+BP23)+SUM(C23:H23)</f>
        <v>405</v>
      </c>
      <c r="C23" s="360"/>
      <c r="D23" s="369"/>
      <c r="E23" s="369"/>
      <c r="F23" s="360"/>
      <c r="G23" s="369"/>
      <c r="H23" s="369"/>
      <c r="I23" s="368">
        <f t="shared" si="24"/>
        <v>484</v>
      </c>
      <c r="J23" s="370"/>
      <c r="K23" s="370"/>
      <c r="L23" s="370"/>
      <c r="M23" s="370"/>
      <c r="N23" s="370"/>
      <c r="O23" s="370"/>
      <c r="P23" s="368">
        <f t="shared" si="25"/>
        <v>509.28000000000003</v>
      </c>
      <c r="Q23" s="369"/>
      <c r="R23" s="369"/>
      <c r="S23" s="369"/>
      <c r="T23" s="369"/>
      <c r="U23" s="369"/>
      <c r="V23" s="361"/>
      <c r="W23" s="360">
        <f t="shared" si="26"/>
        <v>535.88379999999995</v>
      </c>
      <c r="X23" s="369"/>
      <c r="Y23" s="369"/>
      <c r="Z23" s="369"/>
      <c r="AA23" s="369"/>
      <c r="AB23" s="369"/>
      <c r="AC23" s="369"/>
      <c r="AD23" s="360">
        <f t="shared" si="27"/>
        <v>563.88090299999999</v>
      </c>
      <c r="AE23" s="369"/>
      <c r="AF23" s="369"/>
      <c r="AG23" s="369"/>
      <c r="AH23" s="369"/>
      <c r="AI23" s="369"/>
      <c r="AJ23" s="369"/>
      <c r="AK23" s="360">
        <f t="shared" si="28"/>
        <v>593.34447080500001</v>
      </c>
      <c r="AL23" s="369"/>
      <c r="AM23" s="369"/>
      <c r="AN23" s="369"/>
      <c r="AO23" s="369"/>
      <c r="AP23" s="369"/>
      <c r="AQ23" s="369"/>
      <c r="AR23" s="360">
        <f t="shared" si="29"/>
        <v>624.351517152675</v>
      </c>
      <c r="AS23" s="369"/>
      <c r="AT23" s="369"/>
      <c r="AU23" s="369"/>
      <c r="AV23" s="369"/>
      <c r="AW23" s="369"/>
      <c r="AX23" s="369"/>
      <c r="AY23" s="369"/>
      <c r="AZ23" s="371">
        <v>250</v>
      </c>
      <c r="BA23" s="371">
        <v>276</v>
      </c>
      <c r="BB23" s="373">
        <v>289.8</v>
      </c>
      <c r="BC23" s="373">
        <v>304.29000000000002</v>
      </c>
      <c r="BD23" s="373">
        <v>319.50450000000001</v>
      </c>
      <c r="BE23" s="373">
        <v>335.47972500000003</v>
      </c>
      <c r="BF23" s="373">
        <v>352.25371125000004</v>
      </c>
      <c r="BG23" s="369"/>
      <c r="BH23" s="372">
        <v>150</v>
      </c>
      <c r="BI23" s="372">
        <v>200</v>
      </c>
      <c r="BJ23" s="373">
        <v>211</v>
      </c>
      <c r="BK23" s="373">
        <v>222.60499999999999</v>
      </c>
      <c r="BL23" s="373">
        <v>234.84827499999997</v>
      </c>
      <c r="BM23" s="373">
        <v>247.76493012499995</v>
      </c>
      <c r="BN23" s="373">
        <v>261.39200128187491</v>
      </c>
      <c r="BO23" s="369"/>
      <c r="BP23" s="372">
        <v>5</v>
      </c>
      <c r="BQ23" s="374">
        <v>8</v>
      </c>
      <c r="BR23" s="373">
        <v>8.48</v>
      </c>
      <c r="BS23" s="373">
        <v>8.9888000000000012</v>
      </c>
      <c r="BT23" s="373">
        <v>9.5281280000000024</v>
      </c>
      <c r="BU23" s="373">
        <v>10.099815680000003</v>
      </c>
      <c r="BV23" s="373">
        <v>10.705804620800004</v>
      </c>
      <c r="BW23" s="369"/>
      <c r="BX23" s="372">
        <v>10</v>
      </c>
      <c r="BY23" s="374">
        <v>15</v>
      </c>
      <c r="BZ23" s="373">
        <v>15.600000000000001</v>
      </c>
      <c r="CA23" s="373">
        <v>16.224000000000004</v>
      </c>
      <c r="CB23" s="373">
        <v>16.872960000000006</v>
      </c>
      <c r="CC23" s="373">
        <v>17.547878400000005</v>
      </c>
      <c r="CD23" s="373">
        <v>18.249793536000006</v>
      </c>
      <c r="CE23" s="369"/>
    </row>
    <row r="24" spans="1:83" s="364" customFormat="1" ht="16" x14ac:dyDescent="0.2">
      <c r="A24" s="367" t="s">
        <v>141</v>
      </c>
      <c r="B24" s="368">
        <f>H24</f>
        <v>496.125</v>
      </c>
      <c r="C24" s="360"/>
      <c r="D24" s="369"/>
      <c r="E24" s="369"/>
      <c r="F24" s="360"/>
      <c r="G24" s="369"/>
      <c r="H24" s="361">
        <f>BX30*30%</f>
        <v>496.125</v>
      </c>
      <c r="I24" s="375">
        <f>O24</f>
        <v>348.59400000000011</v>
      </c>
      <c r="J24" s="370"/>
      <c r="K24" s="370"/>
      <c r="L24" s="370"/>
      <c r="M24" s="370"/>
      <c r="N24" s="370"/>
      <c r="O24" s="375">
        <f>BY30*30%</f>
        <v>348.59400000000011</v>
      </c>
      <c r="P24" s="361">
        <f>V24</f>
        <v>488.28681425000013</v>
      </c>
      <c r="Q24" s="369"/>
      <c r="R24" s="369"/>
      <c r="S24" s="369"/>
      <c r="T24" s="369"/>
      <c r="U24" s="369"/>
      <c r="V24" s="361">
        <f>BZ30*30%</f>
        <v>488.28681425000013</v>
      </c>
      <c r="W24" s="361">
        <f>AC24</f>
        <v>649.42155412762497</v>
      </c>
      <c r="X24" s="369"/>
      <c r="Y24" s="369"/>
      <c r="Z24" s="369"/>
      <c r="AA24" s="369"/>
      <c r="AB24" s="369"/>
      <c r="AC24" s="361">
        <f>CA30*30%</f>
        <v>649.42155412762497</v>
      </c>
      <c r="AD24" s="361">
        <f>AJ24</f>
        <v>834.81501399046249</v>
      </c>
      <c r="AE24" s="369"/>
      <c r="AF24" s="369"/>
      <c r="AG24" s="369"/>
      <c r="AH24" s="369"/>
      <c r="AI24" s="369"/>
      <c r="AJ24" s="361">
        <f>CB30*30%</f>
        <v>834.81501399046249</v>
      </c>
      <c r="AK24" s="361">
        <f>AQ24</f>
        <v>1047.6368255382451</v>
      </c>
      <c r="AL24" s="369"/>
      <c r="AM24" s="369"/>
      <c r="AN24" s="369"/>
      <c r="AO24" s="369"/>
      <c r="AP24" s="369"/>
      <c r="AQ24" s="361">
        <f>CC30*30%</f>
        <v>1047.6368255382451</v>
      </c>
      <c r="AR24" s="361">
        <f>AX24</f>
        <v>1291.4529102651829</v>
      </c>
      <c r="AS24" s="369"/>
      <c r="AT24" s="369"/>
      <c r="AU24" s="369"/>
      <c r="AV24" s="369"/>
      <c r="AW24" s="369"/>
      <c r="AX24" s="361">
        <f>CD30*30%</f>
        <v>1291.4529102651829</v>
      </c>
      <c r="AY24" s="369"/>
      <c r="AZ24" s="371"/>
      <c r="BA24" s="371"/>
      <c r="BB24" s="374"/>
      <c r="BC24" s="374"/>
      <c r="BD24" s="374"/>
      <c r="BE24" s="374"/>
      <c r="BF24" s="374"/>
      <c r="BG24" s="369"/>
      <c r="BH24" s="372"/>
      <c r="BI24" s="372"/>
      <c r="BJ24" s="374"/>
      <c r="BK24" s="374"/>
      <c r="BL24" s="374"/>
      <c r="BM24" s="374"/>
      <c r="BN24" s="373"/>
      <c r="BO24" s="369"/>
      <c r="BP24" s="372"/>
      <c r="BQ24" s="374"/>
      <c r="BR24" s="374"/>
      <c r="BS24" s="374"/>
      <c r="BT24" s="374"/>
      <c r="BU24" s="374"/>
      <c r="BV24" s="374"/>
      <c r="BW24" s="369"/>
      <c r="BX24" s="372"/>
      <c r="BY24" s="374"/>
      <c r="BZ24" s="374"/>
      <c r="CA24" s="374"/>
      <c r="CB24" s="374"/>
      <c r="CC24" s="374"/>
      <c r="CD24" s="374"/>
      <c r="CE24" s="369"/>
    </row>
    <row r="25" spans="1:83" s="364" customFormat="1" ht="16" x14ac:dyDescent="0.2">
      <c r="A25" s="376" t="s">
        <v>60</v>
      </c>
      <c r="B25" s="377">
        <f>SUM(B26:B27)</f>
        <v>186</v>
      </c>
      <c r="C25" s="369"/>
      <c r="D25" s="369"/>
      <c r="E25" s="369"/>
      <c r="F25" s="369"/>
      <c r="G25" s="369"/>
      <c r="H25" s="369"/>
      <c r="I25" s="377">
        <f>SUM(I26:I27)</f>
        <v>210</v>
      </c>
      <c r="J25" s="370"/>
      <c r="K25" s="370"/>
      <c r="L25" s="370"/>
      <c r="M25" s="370"/>
      <c r="N25" s="370"/>
      <c r="O25" s="370"/>
      <c r="P25" s="359">
        <f>SUM(P26:P27)</f>
        <v>218.54999999999998</v>
      </c>
      <c r="Q25" s="369"/>
      <c r="R25" s="369"/>
      <c r="S25" s="369"/>
      <c r="T25" s="369"/>
      <c r="U25" s="369"/>
      <c r="V25" s="369"/>
      <c r="W25" s="359">
        <f>SUM(W26:W27)</f>
        <v>176.56099999999998</v>
      </c>
      <c r="X25" s="369"/>
      <c r="Y25" s="369"/>
      <c r="Z25" s="369"/>
      <c r="AA25" s="369"/>
      <c r="AB25" s="369"/>
      <c r="AC25" s="369"/>
      <c r="AD25" s="359">
        <f>SUM(AD26:AD27)</f>
        <v>186.05792249999999</v>
      </c>
      <c r="AE25" s="369"/>
      <c r="AF25" s="369"/>
      <c r="AG25" s="369"/>
      <c r="AH25" s="369"/>
      <c r="AI25" s="369"/>
      <c r="AJ25" s="369"/>
      <c r="AK25" s="359">
        <f>SUM(AK26:AK27)</f>
        <v>196.0670409125</v>
      </c>
      <c r="AL25" s="369"/>
      <c r="AM25" s="369"/>
      <c r="AN25" s="369"/>
      <c r="AO25" s="369"/>
      <c r="AP25" s="369"/>
      <c r="AQ25" s="369"/>
      <c r="AR25" s="359">
        <f>SUM(AR26:AR27)</f>
        <v>206.61605297943746</v>
      </c>
      <c r="AS25" s="369"/>
      <c r="AT25" s="369"/>
      <c r="AU25" s="369"/>
      <c r="AV25" s="369"/>
      <c r="AW25" s="369"/>
      <c r="AX25" s="369"/>
      <c r="AY25" s="369"/>
      <c r="AZ25" s="378">
        <v>101</v>
      </c>
      <c r="BA25" s="378">
        <v>100</v>
      </c>
      <c r="BB25" s="379">
        <v>102.45</v>
      </c>
      <c r="BC25" s="379">
        <v>54.022500000000008</v>
      </c>
      <c r="BD25" s="379">
        <v>56.723625000000013</v>
      </c>
      <c r="BE25" s="379">
        <v>59.559806250000015</v>
      </c>
      <c r="BF25" s="379">
        <v>62.53779656250002</v>
      </c>
      <c r="BG25" s="369"/>
      <c r="BH25" s="379">
        <v>80</v>
      </c>
      <c r="BI25" s="379">
        <v>100</v>
      </c>
      <c r="BJ25" s="379">
        <v>105.5</v>
      </c>
      <c r="BK25" s="379">
        <v>111.30249999999999</v>
      </c>
      <c r="BL25" s="379">
        <v>117.42413749999999</v>
      </c>
      <c r="BM25" s="379">
        <v>123.88246506249997</v>
      </c>
      <c r="BN25" s="380">
        <v>130.69600064093746</v>
      </c>
      <c r="BO25" s="369"/>
      <c r="BP25" s="379">
        <v>5</v>
      </c>
      <c r="BQ25" s="379">
        <v>10</v>
      </c>
      <c r="BR25" s="379">
        <v>10.600000000000001</v>
      </c>
      <c r="BS25" s="379">
        <v>11.236000000000002</v>
      </c>
      <c r="BT25" s="379">
        <v>11.910160000000003</v>
      </c>
      <c r="BU25" s="379">
        <v>12.624769600000004</v>
      </c>
      <c r="BV25" s="381">
        <v>13.382255776000004</v>
      </c>
      <c r="BW25" s="369"/>
      <c r="BX25" s="379">
        <v>10</v>
      </c>
      <c r="BY25" s="379">
        <v>12</v>
      </c>
      <c r="BZ25" s="379">
        <v>12.48</v>
      </c>
      <c r="CA25" s="379">
        <v>12.979200000000001</v>
      </c>
      <c r="CB25" s="379">
        <v>13.498368000000001</v>
      </c>
      <c r="CC25" s="379">
        <v>14.038302720000001</v>
      </c>
      <c r="CD25" s="381">
        <v>14.599834828800001</v>
      </c>
      <c r="CE25" s="369"/>
    </row>
    <row r="26" spans="1:83" s="364" customFormat="1" ht="16" x14ac:dyDescent="0.2">
      <c r="A26" s="367" t="s">
        <v>61</v>
      </c>
      <c r="B26" s="368">
        <f t="shared" ref="B26:B29" si="30">AZ26+BH26+BP26</f>
        <v>51</v>
      </c>
      <c r="C26" s="369"/>
      <c r="D26" s="369"/>
      <c r="E26" s="369"/>
      <c r="F26" s="369"/>
      <c r="G26" s="369"/>
      <c r="H26" s="369"/>
      <c r="I26" s="368">
        <f t="shared" ref="I26:I27" si="31">(BA26+BI26+BQ26)+SUM(J26:O26)</f>
        <v>51</v>
      </c>
      <c r="J26" s="370"/>
      <c r="K26" s="370"/>
      <c r="L26" s="370"/>
      <c r="M26" s="370"/>
      <c r="N26" s="370"/>
      <c r="O26" s="370"/>
      <c r="P26" s="368">
        <f t="shared" ref="P26:P27" si="32">(BB26+BJ26+BR26)+SUM(Q26:V26)</f>
        <v>51</v>
      </c>
      <c r="Q26" s="369"/>
      <c r="R26" s="369"/>
      <c r="S26" s="369"/>
      <c r="T26" s="369"/>
      <c r="U26" s="369"/>
      <c r="V26" s="369"/>
      <c r="W26" s="360">
        <f t="shared" ref="W26:W27" si="33">(BC26+BK26+BS26)</f>
        <v>0</v>
      </c>
      <c r="X26" s="369"/>
      <c r="Y26" s="369"/>
      <c r="Z26" s="369"/>
      <c r="AA26" s="369"/>
      <c r="AB26" s="369"/>
      <c r="AC26" s="369"/>
      <c r="AD26" s="360">
        <f t="shared" ref="AD26:AD27" si="34">(BD26+BL26+BT26)</f>
        <v>0</v>
      </c>
      <c r="AE26" s="369"/>
      <c r="AF26" s="369"/>
      <c r="AG26" s="369"/>
      <c r="AH26" s="369"/>
      <c r="AI26" s="369"/>
      <c r="AJ26" s="369"/>
      <c r="AK26" s="360">
        <f t="shared" ref="AK26:AK27" si="35">(BE26+BM26+BU26)</f>
        <v>0</v>
      </c>
      <c r="AL26" s="369"/>
      <c r="AM26" s="369"/>
      <c r="AN26" s="369"/>
      <c r="AO26" s="369"/>
      <c r="AP26" s="369"/>
      <c r="AQ26" s="369"/>
      <c r="AR26" s="360">
        <f t="shared" ref="AR26:AR27" si="36">(BF26+BN26+BV26)</f>
        <v>0</v>
      </c>
      <c r="AS26" s="369"/>
      <c r="AT26" s="369"/>
      <c r="AU26" s="369"/>
      <c r="AV26" s="369"/>
      <c r="AW26" s="369"/>
      <c r="AX26" s="369"/>
      <c r="AY26" s="369"/>
      <c r="AZ26" s="371">
        <v>51</v>
      </c>
      <c r="BA26" s="371">
        <v>51</v>
      </c>
      <c r="BB26" s="373">
        <v>51</v>
      </c>
      <c r="BC26" s="373">
        <v>0</v>
      </c>
      <c r="BD26" s="373">
        <v>0</v>
      </c>
      <c r="BE26" s="373">
        <v>0</v>
      </c>
      <c r="BF26" s="373">
        <v>0</v>
      </c>
      <c r="BG26" s="369"/>
      <c r="BH26" s="372">
        <v>0</v>
      </c>
      <c r="BI26" s="372">
        <v>0</v>
      </c>
      <c r="BJ26" s="373">
        <v>0</v>
      </c>
      <c r="BK26" s="373">
        <v>0</v>
      </c>
      <c r="BL26" s="373">
        <v>0</v>
      </c>
      <c r="BM26" s="373">
        <v>0</v>
      </c>
      <c r="BN26" s="373">
        <v>0</v>
      </c>
      <c r="BO26" s="369"/>
      <c r="BP26" s="372">
        <v>0</v>
      </c>
      <c r="BQ26" s="374">
        <v>0</v>
      </c>
      <c r="BR26" s="373">
        <v>0</v>
      </c>
      <c r="BS26" s="373">
        <v>0</v>
      </c>
      <c r="BT26" s="373">
        <v>0</v>
      </c>
      <c r="BU26" s="373">
        <v>0</v>
      </c>
      <c r="BV26" s="373">
        <v>0</v>
      </c>
      <c r="BW26" s="369"/>
      <c r="BX26" s="372">
        <v>0</v>
      </c>
      <c r="BY26" s="374">
        <v>0</v>
      </c>
      <c r="BZ26" s="373">
        <v>0</v>
      </c>
      <c r="CA26" s="373">
        <v>0</v>
      </c>
      <c r="CB26" s="373">
        <v>0</v>
      </c>
      <c r="CC26" s="373">
        <v>0</v>
      </c>
      <c r="CD26" s="373">
        <v>0</v>
      </c>
      <c r="CE26" s="369"/>
    </row>
    <row r="27" spans="1:83" s="364" customFormat="1" ht="16" x14ac:dyDescent="0.2">
      <c r="A27" s="367" t="s">
        <v>50</v>
      </c>
      <c r="B27" s="368">
        <f t="shared" si="30"/>
        <v>135</v>
      </c>
      <c r="C27" s="369"/>
      <c r="D27" s="369"/>
      <c r="E27" s="369"/>
      <c r="F27" s="369"/>
      <c r="G27" s="369"/>
      <c r="H27" s="369"/>
      <c r="I27" s="368">
        <f t="shared" si="31"/>
        <v>159</v>
      </c>
      <c r="J27" s="370"/>
      <c r="K27" s="370"/>
      <c r="L27" s="370"/>
      <c r="M27" s="370"/>
      <c r="N27" s="370"/>
      <c r="O27" s="370"/>
      <c r="P27" s="368">
        <f t="shared" si="32"/>
        <v>167.54999999999998</v>
      </c>
      <c r="Q27" s="369"/>
      <c r="R27" s="369"/>
      <c r="S27" s="369"/>
      <c r="T27" s="369"/>
      <c r="U27" s="369"/>
      <c r="V27" s="369"/>
      <c r="W27" s="360">
        <f t="shared" si="33"/>
        <v>176.56099999999998</v>
      </c>
      <c r="X27" s="369"/>
      <c r="Y27" s="369"/>
      <c r="Z27" s="369"/>
      <c r="AA27" s="369"/>
      <c r="AB27" s="369"/>
      <c r="AC27" s="369"/>
      <c r="AD27" s="360">
        <f t="shared" si="34"/>
        <v>186.05792249999999</v>
      </c>
      <c r="AE27" s="369"/>
      <c r="AF27" s="369"/>
      <c r="AG27" s="369"/>
      <c r="AH27" s="369"/>
      <c r="AI27" s="369"/>
      <c r="AJ27" s="369"/>
      <c r="AK27" s="360">
        <f t="shared" si="35"/>
        <v>196.0670409125</v>
      </c>
      <c r="AL27" s="369"/>
      <c r="AM27" s="369"/>
      <c r="AN27" s="369"/>
      <c r="AO27" s="369"/>
      <c r="AP27" s="369"/>
      <c r="AQ27" s="369"/>
      <c r="AR27" s="360">
        <f t="shared" si="36"/>
        <v>206.61605297943746</v>
      </c>
      <c r="AS27" s="369"/>
      <c r="AT27" s="369"/>
      <c r="AU27" s="369"/>
      <c r="AV27" s="369"/>
      <c r="AW27" s="369"/>
      <c r="AX27" s="369"/>
      <c r="AY27" s="369"/>
      <c r="AZ27" s="371">
        <v>50</v>
      </c>
      <c r="BA27" s="371">
        <v>49</v>
      </c>
      <c r="BB27" s="373">
        <v>51.45</v>
      </c>
      <c r="BC27" s="373">
        <v>54.022500000000008</v>
      </c>
      <c r="BD27" s="373">
        <v>56.723625000000013</v>
      </c>
      <c r="BE27" s="373">
        <v>59.559806250000015</v>
      </c>
      <c r="BF27" s="373">
        <v>62.53779656250002</v>
      </c>
      <c r="BG27" s="369"/>
      <c r="BH27" s="372">
        <v>80</v>
      </c>
      <c r="BI27" s="372">
        <v>100</v>
      </c>
      <c r="BJ27" s="373">
        <v>105.5</v>
      </c>
      <c r="BK27" s="373">
        <v>111.30249999999999</v>
      </c>
      <c r="BL27" s="373">
        <v>117.42413749999999</v>
      </c>
      <c r="BM27" s="373">
        <v>123.88246506249997</v>
      </c>
      <c r="BN27" s="373">
        <v>130.69600064093746</v>
      </c>
      <c r="BO27" s="369"/>
      <c r="BP27" s="372">
        <v>5</v>
      </c>
      <c r="BQ27" s="374">
        <v>10</v>
      </c>
      <c r="BR27" s="373">
        <v>10.600000000000001</v>
      </c>
      <c r="BS27" s="373">
        <v>11.236000000000002</v>
      </c>
      <c r="BT27" s="373">
        <v>11.910160000000003</v>
      </c>
      <c r="BU27" s="373">
        <v>12.624769600000004</v>
      </c>
      <c r="BV27" s="373">
        <v>13.382255776000004</v>
      </c>
      <c r="BW27" s="369"/>
      <c r="BX27" s="372">
        <v>10</v>
      </c>
      <c r="BY27" s="374">
        <v>12</v>
      </c>
      <c r="BZ27" s="373">
        <v>12.48</v>
      </c>
      <c r="CA27" s="373">
        <v>12.979200000000001</v>
      </c>
      <c r="CB27" s="373">
        <v>13.498368000000001</v>
      </c>
      <c r="CC27" s="373">
        <v>14.038302720000001</v>
      </c>
      <c r="CD27" s="373">
        <v>14.599834828800001</v>
      </c>
      <c r="CE27" s="369"/>
    </row>
    <row r="28" spans="1:83" s="364" customFormat="1" ht="16" x14ac:dyDescent="0.2">
      <c r="A28" s="376" t="s">
        <v>62</v>
      </c>
      <c r="B28" s="377">
        <f>B20+B21-B25</f>
        <v>28897.125</v>
      </c>
      <c r="C28" s="369"/>
      <c r="D28" s="369"/>
      <c r="E28" s="369"/>
      <c r="F28" s="369"/>
      <c r="G28" s="369"/>
      <c r="H28" s="369"/>
      <c r="I28" s="377">
        <f>I20+I21-I25</f>
        <v>29528.602015448287</v>
      </c>
      <c r="J28" s="370"/>
      <c r="K28" s="370"/>
      <c r="L28" s="370"/>
      <c r="M28" s="370"/>
      <c r="N28" s="370"/>
      <c r="O28" s="370"/>
      <c r="P28" s="359">
        <f>P20+P21-P25</f>
        <v>40688.896983334525</v>
      </c>
      <c r="Q28" s="369"/>
      <c r="R28" s="369"/>
      <c r="S28" s="369"/>
      <c r="T28" s="369"/>
      <c r="U28" s="369"/>
      <c r="V28" s="369"/>
      <c r="W28" s="359">
        <f>W20+W21-W25</f>
        <v>55993.874489073001</v>
      </c>
      <c r="X28" s="369"/>
      <c r="Y28" s="369"/>
      <c r="Z28" s="369"/>
      <c r="AA28" s="369"/>
      <c r="AB28" s="369"/>
      <c r="AC28" s="369"/>
      <c r="AD28" s="359">
        <f>AD20+AD21-AD25</f>
        <v>76186.43934461163</v>
      </c>
      <c r="AE28" s="369"/>
      <c r="AF28" s="369"/>
      <c r="AG28" s="369"/>
      <c r="AH28" s="369"/>
      <c r="AI28" s="369"/>
      <c r="AJ28" s="369"/>
      <c r="AK28" s="359">
        <f>AK20+AK21-AK25</f>
        <v>104012.2478365507</v>
      </c>
      <c r="AL28" s="369"/>
      <c r="AM28" s="369"/>
      <c r="AN28" s="369"/>
      <c r="AO28" s="369"/>
      <c r="AP28" s="369"/>
      <c r="AQ28" s="369"/>
      <c r="AR28" s="359">
        <f>AR20+AR21-AR25</f>
        <v>140880.46019050773</v>
      </c>
      <c r="AS28" s="369"/>
      <c r="AT28" s="369"/>
      <c r="AU28" s="369"/>
      <c r="AV28" s="369"/>
      <c r="AW28" s="369"/>
      <c r="AX28" s="369"/>
      <c r="AY28" s="369"/>
      <c r="AZ28" s="378">
        <v>18744</v>
      </c>
      <c r="BA28" s="378">
        <v>18873</v>
      </c>
      <c r="BB28" s="379">
        <v>22966.231256060713</v>
      </c>
      <c r="BC28" s="379">
        <v>28349.915620475571</v>
      </c>
      <c r="BD28" s="379">
        <v>34867.231354169562</v>
      </c>
      <c r="BE28" s="379">
        <v>42776.488511507843</v>
      </c>
      <c r="BF28" s="379">
        <v>52318.917546812481</v>
      </c>
      <c r="BG28" s="369"/>
      <c r="BH28" s="379">
        <v>8861</v>
      </c>
      <c r="BI28" s="379">
        <v>9471.0080154482785</v>
      </c>
      <c r="BJ28" s="379">
        <v>13556.183913023833</v>
      </c>
      <c r="BK28" s="379">
        <v>18585.875564469818</v>
      </c>
      <c r="BL28" s="379">
        <v>24752.851781451627</v>
      </c>
      <c r="BM28" s="379">
        <v>32287.631383254607</v>
      </c>
      <c r="BN28" s="380">
        <v>41465.742512806544</v>
      </c>
      <c r="BO28" s="369"/>
      <c r="BP28" s="379">
        <v>796</v>
      </c>
      <c r="BQ28" s="379">
        <v>836</v>
      </c>
      <c r="BR28" s="379">
        <v>3678.1949999999988</v>
      </c>
      <c r="BS28" s="379">
        <v>8408.6617499999993</v>
      </c>
      <c r="BT28" s="379">
        <v>15731.541194999998</v>
      </c>
      <c r="BU28" s="379">
        <v>27900.491116249996</v>
      </c>
      <c r="BV28" s="381">
        <v>45804.347220623516</v>
      </c>
      <c r="BW28" s="369"/>
      <c r="BX28" s="379">
        <v>2205</v>
      </c>
      <c r="BY28" s="379">
        <v>1549.3066666666673</v>
      </c>
      <c r="BZ28" s="379">
        <v>2170.1636188888897</v>
      </c>
      <c r="CA28" s="379">
        <v>2886.3180183449999</v>
      </c>
      <c r="CB28" s="379">
        <v>3710.2889510687228</v>
      </c>
      <c r="CC28" s="379">
        <v>4656.1636690588675</v>
      </c>
      <c r="CD28" s="381">
        <v>5739.7907122897022</v>
      </c>
      <c r="CE28" s="369"/>
    </row>
    <row r="29" spans="1:83" s="364" customFormat="1" ht="16" x14ac:dyDescent="0.2">
      <c r="A29" s="382" t="s">
        <v>63</v>
      </c>
      <c r="B29" s="368">
        <f t="shared" si="30"/>
        <v>7100.25</v>
      </c>
      <c r="C29" s="369"/>
      <c r="D29" s="369"/>
      <c r="E29" s="369"/>
      <c r="F29" s="369"/>
      <c r="G29" s="369"/>
      <c r="H29" s="369"/>
      <c r="I29" s="368">
        <f>BA29+BI29+BQ29</f>
        <v>7295.0020038620696</v>
      </c>
      <c r="J29" s="358"/>
      <c r="K29" s="358"/>
      <c r="L29" s="358"/>
      <c r="M29" s="358"/>
      <c r="N29" s="358"/>
      <c r="O29" s="358"/>
      <c r="P29" s="368">
        <f>(BB29+BJ29+BR29)</f>
        <v>10050.152542271137</v>
      </c>
      <c r="Q29" s="369"/>
      <c r="R29" s="369"/>
      <c r="S29" s="369"/>
      <c r="T29" s="369"/>
      <c r="U29" s="369"/>
      <c r="V29" s="369"/>
      <c r="W29" s="360">
        <f t="shared" ref="W29" si="37">(BC29+BK29+BS29)</f>
        <v>13836.113233736347</v>
      </c>
      <c r="X29" s="369"/>
      <c r="Y29" s="369"/>
      <c r="Z29" s="369"/>
      <c r="AA29" s="369"/>
      <c r="AB29" s="369"/>
      <c r="AC29" s="369"/>
      <c r="AD29" s="360">
        <f>(BD29+BL29+BT29)</f>
        <v>18837.906082655296</v>
      </c>
      <c r="AE29" s="369"/>
      <c r="AF29" s="369"/>
      <c r="AG29" s="369"/>
      <c r="AH29" s="369"/>
      <c r="AI29" s="369"/>
      <c r="AJ29" s="369"/>
      <c r="AK29" s="360">
        <f>(BE29+BM29+BU29)</f>
        <v>25741.152752753111</v>
      </c>
      <c r="AL29" s="369"/>
      <c r="AM29" s="369"/>
      <c r="AN29" s="369"/>
      <c r="AO29" s="369"/>
      <c r="AP29" s="369"/>
      <c r="AQ29" s="369"/>
      <c r="AR29" s="360">
        <f>(BF29+BN29+BV29)</f>
        <v>34897.251820060636</v>
      </c>
      <c r="AS29" s="369"/>
      <c r="AT29" s="369"/>
      <c r="AU29" s="369"/>
      <c r="AV29" s="369"/>
      <c r="AW29" s="369"/>
      <c r="AX29" s="369"/>
      <c r="AY29" s="369"/>
      <c r="AZ29" s="380">
        <v>4686</v>
      </c>
      <c r="BA29" s="380">
        <v>4718.25</v>
      </c>
      <c r="BB29" s="380">
        <v>5741.5578140151783</v>
      </c>
      <c r="BC29" s="380">
        <v>7087.4789051188927</v>
      </c>
      <c r="BD29" s="380">
        <v>8716.8078385423905</v>
      </c>
      <c r="BE29" s="380">
        <v>10694.122127876961</v>
      </c>
      <c r="BF29" s="380">
        <v>13079.72938670312</v>
      </c>
      <c r="BG29" s="369"/>
      <c r="BH29" s="379">
        <v>2215.25</v>
      </c>
      <c r="BI29" s="379">
        <v>2367.7520038620696</v>
      </c>
      <c r="BJ29" s="379">
        <v>3389.0459782559583</v>
      </c>
      <c r="BK29" s="379">
        <v>4646.4688911174544</v>
      </c>
      <c r="BL29" s="379">
        <v>6188.2129453629068</v>
      </c>
      <c r="BM29" s="379">
        <v>8071.9078458136519</v>
      </c>
      <c r="BN29" s="379">
        <v>10366.435628201636</v>
      </c>
      <c r="BO29" s="369"/>
      <c r="BP29" s="381">
        <v>199</v>
      </c>
      <c r="BQ29" s="381">
        <v>209</v>
      </c>
      <c r="BR29" s="381">
        <v>919.5487499999997</v>
      </c>
      <c r="BS29" s="381">
        <v>2102.1654374999998</v>
      </c>
      <c r="BT29" s="381">
        <v>3932.8852987499995</v>
      </c>
      <c r="BU29" s="381">
        <v>6975.1227790624989</v>
      </c>
      <c r="BV29" s="381">
        <v>11451.086805155879</v>
      </c>
      <c r="BW29" s="369"/>
      <c r="BX29" s="381">
        <v>551.25</v>
      </c>
      <c r="BY29" s="381">
        <v>387.32666666666682</v>
      </c>
      <c r="BZ29" s="381">
        <v>542.54090472222242</v>
      </c>
      <c r="CA29" s="381">
        <v>721.57950458624998</v>
      </c>
      <c r="CB29" s="381">
        <v>927.5722377671807</v>
      </c>
      <c r="CC29" s="381">
        <v>1164.0409172647169</v>
      </c>
      <c r="CD29" s="381">
        <v>1434.9476780724256</v>
      </c>
      <c r="CE29" s="369"/>
    </row>
    <row r="30" spans="1:83" s="364" customFormat="1" ht="16" x14ac:dyDescent="0.2">
      <c r="A30" s="376" t="s">
        <v>10</v>
      </c>
      <c r="B30" s="377">
        <f>B28-B29</f>
        <v>21796.875</v>
      </c>
      <c r="C30" s="369"/>
      <c r="D30" s="369"/>
      <c r="E30" s="369"/>
      <c r="F30" s="369"/>
      <c r="G30" s="369"/>
      <c r="H30" s="369"/>
      <c r="I30" s="377">
        <f>I28-I29</f>
        <v>22233.600011586219</v>
      </c>
      <c r="J30" s="358"/>
      <c r="K30" s="358"/>
      <c r="L30" s="358"/>
      <c r="M30" s="358"/>
      <c r="N30" s="358"/>
      <c r="O30" s="358"/>
      <c r="P30" s="359">
        <f>P28-P29</f>
        <v>30638.744441063391</v>
      </c>
      <c r="Q30" s="369"/>
      <c r="R30" s="369"/>
      <c r="S30" s="369"/>
      <c r="T30" s="369"/>
      <c r="U30" s="369"/>
      <c r="V30" s="369"/>
      <c r="W30" s="359">
        <f>W28-W29</f>
        <v>42157.761255336656</v>
      </c>
      <c r="X30" s="369"/>
      <c r="Y30" s="369"/>
      <c r="Z30" s="369"/>
      <c r="AA30" s="369"/>
      <c r="AB30" s="369"/>
      <c r="AC30" s="369"/>
      <c r="AD30" s="359">
        <f>AD28-AD29</f>
        <v>57348.533261956334</v>
      </c>
      <c r="AE30" s="369"/>
      <c r="AF30" s="369"/>
      <c r="AG30" s="369"/>
      <c r="AH30" s="369"/>
      <c r="AI30" s="369"/>
      <c r="AJ30" s="369"/>
      <c r="AK30" s="359">
        <f>AK28-AK29</f>
        <v>78271.095083797583</v>
      </c>
      <c r="AL30" s="369"/>
      <c r="AM30" s="369"/>
      <c r="AN30" s="369"/>
      <c r="AO30" s="369"/>
      <c r="AP30" s="369"/>
      <c r="AQ30" s="369"/>
      <c r="AR30" s="359">
        <f>AR28-AR29</f>
        <v>105983.2083704471</v>
      </c>
      <c r="AS30" s="369"/>
      <c r="AT30" s="369"/>
      <c r="AU30" s="369"/>
      <c r="AV30" s="369"/>
      <c r="AW30" s="369"/>
      <c r="AX30" s="369"/>
      <c r="AY30" s="369"/>
      <c r="AZ30" s="378">
        <v>14058</v>
      </c>
      <c r="BA30" s="378">
        <v>14154.75</v>
      </c>
      <c r="BB30" s="379">
        <v>17224.673442045536</v>
      </c>
      <c r="BC30" s="379">
        <v>21262.436715356678</v>
      </c>
      <c r="BD30" s="379">
        <v>26150.423515627172</v>
      </c>
      <c r="BE30" s="379">
        <v>32082.366383630884</v>
      </c>
      <c r="BF30" s="381">
        <v>39239.188160109363</v>
      </c>
      <c r="BG30" s="369"/>
      <c r="BH30" s="379">
        <v>6645.75</v>
      </c>
      <c r="BI30" s="379">
        <v>7103.2560115862088</v>
      </c>
      <c r="BJ30" s="379">
        <v>10167.137934767874</v>
      </c>
      <c r="BK30" s="379">
        <v>13939.406673352363</v>
      </c>
      <c r="BL30" s="379">
        <v>18564.638836088721</v>
      </c>
      <c r="BM30" s="379">
        <v>24215.723537440957</v>
      </c>
      <c r="BN30" s="380">
        <v>31099.306884604906</v>
      </c>
      <c r="BO30" s="369"/>
      <c r="BP30" s="379">
        <v>597</v>
      </c>
      <c r="BQ30" s="379">
        <v>627</v>
      </c>
      <c r="BR30" s="379">
        <v>2758.6462499999989</v>
      </c>
      <c r="BS30" s="379">
        <v>6306.4963124999995</v>
      </c>
      <c r="BT30" s="379">
        <v>11798.655896249998</v>
      </c>
      <c r="BU30" s="379">
        <v>20925.368337187498</v>
      </c>
      <c r="BV30" s="381">
        <v>34353.260415467637</v>
      </c>
      <c r="BW30" s="369"/>
      <c r="BX30" s="379">
        <v>1653.75</v>
      </c>
      <c r="BY30" s="379">
        <v>1161.9800000000005</v>
      </c>
      <c r="BZ30" s="379">
        <v>1627.6227141666673</v>
      </c>
      <c r="CA30" s="379">
        <v>2164.7385137587498</v>
      </c>
      <c r="CB30" s="379">
        <v>2782.7167133015419</v>
      </c>
      <c r="CC30" s="379">
        <v>3492.1227517941506</v>
      </c>
      <c r="CD30" s="381">
        <v>4304.8430342172769</v>
      </c>
      <c r="CE30" s="369"/>
    </row>
    <row r="31" spans="1:83" s="384" customFormat="1" ht="16" x14ac:dyDescent="0.2">
      <c r="A31" s="383" t="s">
        <v>142</v>
      </c>
      <c r="B31" s="362">
        <f>B30-B32</f>
        <v>20893.5</v>
      </c>
      <c r="I31" s="362">
        <f>I30-I32</f>
        <v>21272.4744104276</v>
      </c>
      <c r="P31" s="362">
        <f>P30-P32</f>
        <v>28518.572147586605</v>
      </c>
      <c r="W31" s="362">
        <f>W30-W32</f>
        <v>38241.22206300142</v>
      </c>
      <c r="AD31" s="362">
        <f>AD30-AD32</f>
        <v>50772.607019847463</v>
      </c>
      <c r="AK31" s="362">
        <f>AK30-AK32</f>
        <v>67479.375395178489</v>
      </c>
      <c r="AR31" s="362">
        <f>AR30-AR32</f>
        <v>89131.97351579956</v>
      </c>
      <c r="BA31" s="385"/>
      <c r="CE31" s="369"/>
    </row>
    <row r="32" spans="1:83" s="384" customFormat="1" ht="16" x14ac:dyDescent="0.2">
      <c r="A32" s="386" t="s">
        <v>143</v>
      </c>
      <c r="B32" s="363">
        <f>(BH30*10%)+(BP30*40%)</f>
        <v>903.375</v>
      </c>
      <c r="I32" s="363">
        <f>(BI30*10%)+(BQ30*40%)</f>
        <v>961.12560115862084</v>
      </c>
      <c r="P32" s="363">
        <f>(BJ30*10%)+(BR30*40%)</f>
        <v>2120.1722934767868</v>
      </c>
      <c r="W32" s="363">
        <f>(BK30*10%)+(BS30*40%)</f>
        <v>3916.5391923352363</v>
      </c>
      <c r="AD32" s="363">
        <f>(BL30*10%)+(BT30*40%)</f>
        <v>6575.9262421088724</v>
      </c>
      <c r="AK32" s="387">
        <f>(BM30*10%)+(BU30*40%)</f>
        <v>10791.719688619094</v>
      </c>
      <c r="AR32" s="387">
        <f>(BN30*10%)+(BV30*40%)</f>
        <v>16851.234854647548</v>
      </c>
      <c r="CE32" s="369"/>
    </row>
    <row r="33" spans="1:82" s="364" customFormat="1" ht="16" x14ac:dyDescent="0.2">
      <c r="A33" s="388" t="s">
        <v>65</v>
      </c>
      <c r="B33" s="368">
        <f>AZ33+BH33+BP33</f>
        <v>4254</v>
      </c>
      <c r="C33" s="369"/>
      <c r="D33" s="369"/>
      <c r="E33" s="369"/>
      <c r="F33" s="369"/>
      <c r="G33" s="369"/>
      <c r="H33" s="369"/>
      <c r="I33" s="368">
        <f>BA33+BI33+BQ33</f>
        <v>4253.8487376919538</v>
      </c>
      <c r="J33" s="358"/>
      <c r="K33" s="358"/>
      <c r="L33" s="358"/>
      <c r="M33" s="358"/>
      <c r="N33" s="358"/>
      <c r="O33" s="358"/>
      <c r="P33" s="368">
        <f>(BB33+BJ33+BR33)</f>
        <v>3299.2800000000007</v>
      </c>
      <c r="Q33" s="369"/>
      <c r="R33" s="369"/>
      <c r="S33" s="369"/>
      <c r="T33" s="369"/>
      <c r="U33" s="369"/>
      <c r="V33" s="369"/>
      <c r="W33" s="360">
        <f t="shared" ref="W33" si="38">(BC33+BK33+BS33)</f>
        <v>4729.3667912695873</v>
      </c>
      <c r="X33" s="369"/>
      <c r="Y33" s="369"/>
      <c r="Z33" s="369"/>
      <c r="AA33" s="369"/>
      <c r="AB33" s="369"/>
      <c r="AC33" s="369"/>
      <c r="AD33" s="360">
        <f>(BD33+BL33+BT33)</f>
        <v>4986.7699187894141</v>
      </c>
      <c r="AE33" s="369"/>
      <c r="AF33" s="369"/>
      <c r="AG33" s="369"/>
      <c r="AH33" s="369"/>
      <c r="AI33" s="369"/>
      <c r="AJ33" s="369"/>
      <c r="AK33" s="360">
        <f>(BE33+BM33+BU33)</f>
        <v>5258.2298970628317</v>
      </c>
      <c r="AL33" s="369"/>
      <c r="AM33" s="369"/>
      <c r="AN33" s="369"/>
      <c r="AO33" s="369"/>
      <c r="AP33" s="369"/>
      <c r="AQ33" s="369"/>
      <c r="AR33" s="360">
        <f>(BF33+BN33+BV33)</f>
        <v>5544.516953680687</v>
      </c>
      <c r="AS33" s="369"/>
      <c r="AT33" s="369"/>
      <c r="AU33" s="369"/>
      <c r="AV33" s="369"/>
      <c r="AW33" s="369"/>
      <c r="AX33" s="369"/>
      <c r="AY33" s="369"/>
      <c r="AZ33" s="389">
        <v>1132</v>
      </c>
      <c r="BA33" s="389">
        <v>1132</v>
      </c>
      <c r="BB33" s="390">
        <v>1188.6000000000001</v>
      </c>
      <c r="BC33" s="390">
        <v>1248.0300000000002</v>
      </c>
      <c r="BD33" s="390">
        <v>1310.4315000000004</v>
      </c>
      <c r="BE33" s="390">
        <v>1375.9530750000004</v>
      </c>
      <c r="BF33" s="390">
        <v>1444.7507287500005</v>
      </c>
      <c r="BG33" s="369"/>
      <c r="BH33" s="391">
        <v>2494</v>
      </c>
      <c r="BI33" s="391">
        <v>2493.8487376919538</v>
      </c>
      <c r="BJ33" s="392">
        <v>1445</v>
      </c>
      <c r="BK33" s="390">
        <v>2775.7159912695865</v>
      </c>
      <c r="BL33" s="390">
        <v>2928.3803707894135</v>
      </c>
      <c r="BM33" s="390">
        <v>3089.4412911828313</v>
      </c>
      <c r="BN33" s="390">
        <v>3259.3605621978868</v>
      </c>
      <c r="BO33" s="369"/>
      <c r="BP33" s="391">
        <v>628</v>
      </c>
      <c r="BQ33" s="393">
        <v>628</v>
      </c>
      <c r="BR33" s="390">
        <v>665.68000000000006</v>
      </c>
      <c r="BS33" s="390">
        <v>705.62080000000014</v>
      </c>
      <c r="BT33" s="390">
        <v>747.95804800000019</v>
      </c>
      <c r="BU33" s="390">
        <v>792.83553088000019</v>
      </c>
      <c r="BV33" s="390">
        <v>840.40566273280024</v>
      </c>
      <c r="BW33" s="369"/>
      <c r="BX33" s="391">
        <v>142</v>
      </c>
      <c r="BY33" s="393">
        <v>141.62944444444443</v>
      </c>
      <c r="BZ33" s="390">
        <v>147.29462222222222</v>
      </c>
      <c r="CA33" s="390">
        <v>153.18640711111112</v>
      </c>
      <c r="CB33" s="390">
        <v>159.31386339555559</v>
      </c>
      <c r="CC33" s="390">
        <v>165.6864179313778</v>
      </c>
      <c r="CD33" s="390">
        <v>172.31387464863292</v>
      </c>
    </row>
    <row r="34" spans="1:82" ht="16" x14ac:dyDescent="0.2">
      <c r="A34" s="425" t="s">
        <v>66</v>
      </c>
      <c r="B34" s="175">
        <f>B30+B29+B26-B22+B33</f>
        <v>31829.125</v>
      </c>
      <c r="C34" s="169"/>
      <c r="D34" s="169"/>
      <c r="E34" s="169"/>
      <c r="F34" s="169"/>
      <c r="G34" s="169"/>
      <c r="H34" s="169"/>
      <c r="I34" s="175">
        <f>I30+I29+I26-I22+I33</f>
        <v>32460.738477278177</v>
      </c>
      <c r="J34" s="177"/>
      <c r="K34" s="177"/>
      <c r="L34" s="177"/>
      <c r="M34" s="177"/>
      <c r="N34" s="177"/>
      <c r="O34" s="177"/>
      <c r="P34" s="228">
        <f>P30+P29+P26-P22+P33</f>
        <v>42666.464707472456</v>
      </c>
      <c r="Q34" s="169"/>
      <c r="R34" s="169"/>
      <c r="S34" s="169"/>
      <c r="T34" s="169"/>
      <c r="U34" s="169"/>
      <c r="V34" s="169"/>
      <c r="W34" s="228">
        <f>W30+W29+W26-W22+W33</f>
        <v>59350.529004480522</v>
      </c>
      <c r="X34" s="169"/>
      <c r="Y34" s="169"/>
      <c r="Z34" s="169"/>
      <c r="AA34" s="169"/>
      <c r="AB34" s="169"/>
      <c r="AC34" s="169"/>
      <c r="AD34" s="359">
        <f>AD30+AD29+AD26-AD22+AD33</f>
        <v>79800.49698753898</v>
      </c>
      <c r="AE34" s="169"/>
      <c r="AF34" s="169"/>
      <c r="AG34" s="169"/>
      <c r="AH34" s="169"/>
      <c r="AI34" s="169"/>
      <c r="AJ34" s="169"/>
      <c r="AK34" s="228">
        <f>AK30+AK29+AK26-AK22+AK33</f>
        <v>107897.76545775146</v>
      </c>
      <c r="AL34" s="169"/>
      <c r="AM34" s="169"/>
      <c r="AN34" s="169"/>
      <c r="AO34" s="169"/>
      <c r="AP34" s="169"/>
      <c r="AQ34" s="169"/>
      <c r="AR34" s="228">
        <f>AR30+AR29+AR26-AR22+AR33</f>
        <v>145052.26486832634</v>
      </c>
      <c r="AS34" s="169"/>
      <c r="AT34" s="169"/>
      <c r="AU34" s="169"/>
      <c r="AV34" s="169"/>
      <c r="AW34" s="169"/>
      <c r="AX34" s="169"/>
      <c r="AY34" s="169"/>
      <c r="AZ34" s="365">
        <v>19818</v>
      </c>
      <c r="BA34" s="365">
        <v>19947</v>
      </c>
      <c r="BB34" s="365">
        <v>24096.831256060712</v>
      </c>
      <c r="BC34" s="365">
        <v>29488.94562047557</v>
      </c>
      <c r="BD34" s="365">
        <v>36068.662854169561</v>
      </c>
      <c r="BE34" s="365">
        <v>44043.441586507841</v>
      </c>
      <c r="BF34" s="365">
        <v>53654.668275562479</v>
      </c>
      <c r="BG34" s="169"/>
      <c r="BH34" s="193">
        <v>10886</v>
      </c>
      <c r="BI34" s="193">
        <v>11496.144477278162</v>
      </c>
      <c r="BJ34" s="193">
        <v>14532.471637161763</v>
      </c>
      <c r="BK34" s="193">
        <v>20892.879279877336</v>
      </c>
      <c r="BL34" s="193">
        <v>27212.519876378974</v>
      </c>
      <c r="BM34" s="193">
        <v>34908.360398575373</v>
      </c>
      <c r="BN34" s="366">
        <v>44256.390799142362</v>
      </c>
      <c r="BO34" s="169"/>
      <c r="BP34" s="193">
        <v>629</v>
      </c>
      <c r="BQ34" s="193">
        <v>669</v>
      </c>
      <c r="BR34" s="193">
        <v>3548.8749999999991</v>
      </c>
      <c r="BS34" s="193">
        <v>8319.2825499999999</v>
      </c>
      <c r="BT34" s="193">
        <v>15684.499242999998</v>
      </c>
      <c r="BU34" s="193">
        <v>27898.326647129998</v>
      </c>
      <c r="BV34" s="194">
        <v>45849.752883356319</v>
      </c>
      <c r="BW34" s="169"/>
      <c r="BX34" s="193">
        <v>2347</v>
      </c>
      <c r="BY34" s="193">
        <v>1690.9361111111118</v>
      </c>
      <c r="BZ34" s="193">
        <v>2317.4582411111119</v>
      </c>
      <c r="CA34" s="193">
        <v>3039.5044254561112</v>
      </c>
      <c r="CB34" s="193">
        <v>3869.6028144642783</v>
      </c>
      <c r="CC34" s="193">
        <v>4821.8500869902455</v>
      </c>
      <c r="CD34" s="194">
        <v>5912.1045869383352</v>
      </c>
    </row>
    <row r="37" spans="1:82" x14ac:dyDescent="0.15">
      <c r="AZ37" s="230"/>
      <c r="BK37" s="233"/>
    </row>
    <row r="38" spans="1:82" x14ac:dyDescent="0.15">
      <c r="B38" s="394"/>
      <c r="C38" s="394"/>
      <c r="D38" s="394"/>
      <c r="E38" s="394"/>
      <c r="F38" s="394"/>
      <c r="G38" s="394"/>
      <c r="H38" s="394"/>
      <c r="AZ38" s="230"/>
      <c r="BA38" s="230"/>
    </row>
    <row r="39" spans="1:82" x14ac:dyDescent="0.15">
      <c r="B39" s="400"/>
      <c r="C39" s="400"/>
      <c r="D39" s="400"/>
      <c r="E39" s="400"/>
      <c r="F39" s="400"/>
      <c r="G39" s="400"/>
      <c r="H39" s="400"/>
      <c r="BK39" s="233"/>
      <c r="BS39" s="233"/>
    </row>
    <row r="40" spans="1:82" x14ac:dyDescent="0.15">
      <c r="B40" s="400"/>
      <c r="C40" s="400"/>
      <c r="D40" s="400"/>
      <c r="E40" s="400"/>
      <c r="F40" s="400"/>
      <c r="G40" s="400"/>
      <c r="H40" s="400"/>
      <c r="W40" s="233"/>
    </row>
    <row r="41" spans="1:82" x14ac:dyDescent="0.15">
      <c r="B41" s="400"/>
      <c r="C41" s="400"/>
      <c r="D41" s="400"/>
      <c r="E41" s="400"/>
      <c r="F41" s="400"/>
      <c r="G41" s="400"/>
      <c r="H41" s="400"/>
      <c r="AZ41" s="230"/>
      <c r="BC41" s="230"/>
      <c r="BS41" s="233"/>
    </row>
    <row r="42" spans="1:82" x14ac:dyDescent="0.15">
      <c r="B42" s="394"/>
      <c r="C42" s="394"/>
      <c r="D42" s="394"/>
      <c r="E42" s="394"/>
      <c r="F42" s="394"/>
      <c r="G42" s="394"/>
      <c r="H42" s="394"/>
      <c r="BC42" s="230"/>
    </row>
    <row r="43" spans="1:82" x14ac:dyDescent="0.15">
      <c r="B43" s="394"/>
      <c r="C43" s="394"/>
      <c r="D43" s="394"/>
      <c r="E43" s="394"/>
      <c r="F43" s="394"/>
      <c r="G43" s="394"/>
      <c r="H43" s="394"/>
    </row>
  </sheetData>
  <mergeCells count="5">
    <mergeCell ref="B1:AX1"/>
    <mergeCell ref="AZ1:BF1"/>
    <mergeCell ref="BH1:BN1"/>
    <mergeCell ref="BP1:BV1"/>
    <mergeCell ref="BX1:C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D3CE-79F7-0643-A676-2EBBA750BAE5}">
  <dimension ref="A1:CD100"/>
  <sheetViews>
    <sheetView zoomScale="110" zoomScaleNormal="110" workbookViewId="0">
      <pane xSplit="1" ySplit="1" topLeftCell="Z10" activePane="bottomRight" state="frozen"/>
      <selection pane="topRight" activeCell="B1" sqref="B1"/>
      <selection pane="bottomLeft" activeCell="A2" sqref="A2"/>
      <selection pane="bottomRight" activeCell="F30" sqref="F30"/>
    </sheetView>
  </sheetViews>
  <sheetFormatPr baseColWidth="10" defaultColWidth="10.83203125" defaultRowHeight="16" outlineLevelCol="1" x14ac:dyDescent="0.2"/>
  <cols>
    <col min="1" max="1" width="51.5" style="226" customWidth="1"/>
    <col min="2" max="2" width="11.5" style="196" customWidth="1"/>
    <col min="3" max="3" width="12" style="196" customWidth="1"/>
    <col min="4" max="9" width="10.83203125" style="196" customWidth="1"/>
    <col min="10" max="10" width="12" style="196" customWidth="1"/>
    <col min="11" max="50" width="10.83203125" style="196" customWidth="1"/>
    <col min="51" max="51" width="10.83203125" style="196"/>
    <col min="52" max="82" width="10.83203125" style="196" customWidth="1" outlineLevel="1"/>
    <col min="83" max="16384" width="10.83203125" style="196"/>
  </cols>
  <sheetData>
    <row r="1" spans="1:82" ht="17" customHeight="1" x14ac:dyDescent="0.2">
      <c r="A1" s="168" t="s">
        <v>95</v>
      </c>
      <c r="B1" s="411" t="s">
        <v>132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  <c r="U1" s="411"/>
      <c r="V1" s="411"/>
      <c r="W1" s="411"/>
      <c r="X1" s="411"/>
      <c r="Y1" s="411"/>
      <c r="Z1" s="411"/>
      <c r="AA1" s="411"/>
      <c r="AB1" s="411"/>
      <c r="AC1" s="411"/>
      <c r="AD1" s="411"/>
      <c r="AE1" s="411"/>
      <c r="AF1" s="411"/>
      <c r="AG1" s="411"/>
      <c r="AH1" s="411"/>
      <c r="AI1" s="411"/>
      <c r="AJ1" s="411"/>
      <c r="AK1" s="411"/>
      <c r="AL1" s="411"/>
      <c r="AM1" s="411"/>
      <c r="AN1" s="411"/>
      <c r="AO1" s="411"/>
      <c r="AP1" s="411"/>
      <c r="AQ1" s="411"/>
      <c r="AR1" s="411"/>
      <c r="AS1" s="411"/>
      <c r="AT1" s="411"/>
      <c r="AU1" s="411"/>
      <c r="AV1" s="411"/>
      <c r="AW1" s="411"/>
      <c r="AX1" s="411"/>
      <c r="AZ1" s="409" t="s">
        <v>1</v>
      </c>
      <c r="BA1" s="409"/>
      <c r="BB1" s="409"/>
      <c r="BC1" s="409"/>
      <c r="BD1" s="409"/>
      <c r="BE1" s="409"/>
      <c r="BF1" s="409"/>
      <c r="BG1" s="4"/>
      <c r="BH1" s="409" t="s">
        <v>2</v>
      </c>
      <c r="BI1" s="409"/>
      <c r="BJ1" s="409"/>
      <c r="BK1" s="409"/>
      <c r="BL1" s="409"/>
      <c r="BM1" s="409"/>
      <c r="BN1" s="409"/>
      <c r="BO1" s="4"/>
      <c r="BP1" s="409" t="s">
        <v>3</v>
      </c>
      <c r="BQ1" s="409"/>
      <c r="BR1" s="409"/>
      <c r="BS1" s="409"/>
      <c r="BT1" s="409"/>
      <c r="BU1" s="409"/>
      <c r="BV1" s="409"/>
      <c r="BW1" s="4"/>
      <c r="BX1" s="409" t="s">
        <v>4</v>
      </c>
      <c r="BY1" s="409"/>
      <c r="BZ1" s="409"/>
      <c r="CA1" s="409"/>
      <c r="CB1" s="409"/>
      <c r="CC1" s="409"/>
      <c r="CD1" s="409"/>
    </row>
    <row r="2" spans="1:82" ht="85" x14ac:dyDescent="0.2">
      <c r="A2" s="168"/>
      <c r="B2" s="407" t="s">
        <v>26</v>
      </c>
      <c r="C2" s="172" t="s">
        <v>144</v>
      </c>
      <c r="D2" s="172" t="s">
        <v>145</v>
      </c>
      <c r="E2" s="172" t="s">
        <v>146</v>
      </c>
      <c r="F2" s="172" t="s">
        <v>147</v>
      </c>
      <c r="G2" s="172" t="s">
        <v>148</v>
      </c>
      <c r="H2" s="172" t="s">
        <v>149</v>
      </c>
      <c r="I2" s="407" t="s">
        <v>5</v>
      </c>
      <c r="J2" s="172" t="s">
        <v>150</v>
      </c>
      <c r="K2" s="172" t="s">
        <v>151</v>
      </c>
      <c r="L2" s="172" t="s">
        <v>146</v>
      </c>
      <c r="M2" s="172" t="s">
        <v>147</v>
      </c>
      <c r="N2" s="172" t="s">
        <v>148</v>
      </c>
      <c r="O2" s="172" t="s">
        <v>149</v>
      </c>
      <c r="P2" s="407">
        <v>2026</v>
      </c>
      <c r="Q2" s="172" t="s">
        <v>150</v>
      </c>
      <c r="R2" s="172" t="s">
        <v>151</v>
      </c>
      <c r="S2" s="172" t="s">
        <v>146</v>
      </c>
      <c r="T2" s="172" t="s">
        <v>147</v>
      </c>
      <c r="U2" s="172" t="s">
        <v>148</v>
      </c>
      <c r="V2" s="172" t="s">
        <v>149</v>
      </c>
      <c r="W2" s="407">
        <v>2027</v>
      </c>
      <c r="X2" s="172" t="s">
        <v>150</v>
      </c>
      <c r="Y2" s="172" t="s">
        <v>151</v>
      </c>
      <c r="Z2" s="172" t="s">
        <v>146</v>
      </c>
      <c r="AA2" s="172" t="s">
        <v>147</v>
      </c>
      <c r="AB2" s="172" t="s">
        <v>148</v>
      </c>
      <c r="AC2" s="172" t="s">
        <v>149</v>
      </c>
      <c r="AD2" s="407">
        <v>2028</v>
      </c>
      <c r="AE2" s="172" t="s">
        <v>150</v>
      </c>
      <c r="AF2" s="172" t="s">
        <v>151</v>
      </c>
      <c r="AG2" s="172" t="s">
        <v>146</v>
      </c>
      <c r="AH2" s="172" t="s">
        <v>147</v>
      </c>
      <c r="AI2" s="172" t="s">
        <v>148</v>
      </c>
      <c r="AJ2" s="172" t="s">
        <v>149</v>
      </c>
      <c r="AK2" s="407">
        <v>2029</v>
      </c>
      <c r="AL2" s="172" t="s">
        <v>150</v>
      </c>
      <c r="AM2" s="172" t="s">
        <v>151</v>
      </c>
      <c r="AN2" s="172" t="s">
        <v>146</v>
      </c>
      <c r="AO2" s="172" t="s">
        <v>147</v>
      </c>
      <c r="AP2" s="172" t="s">
        <v>148</v>
      </c>
      <c r="AQ2" s="172" t="s">
        <v>149</v>
      </c>
      <c r="AR2" s="407">
        <v>2030</v>
      </c>
      <c r="AS2" s="172" t="s">
        <v>150</v>
      </c>
      <c r="AT2" s="172" t="s">
        <v>151</v>
      </c>
      <c r="AU2" s="172" t="s">
        <v>146</v>
      </c>
      <c r="AV2" s="172" t="s">
        <v>147</v>
      </c>
      <c r="AW2" s="172" t="s">
        <v>148</v>
      </c>
      <c r="AX2" s="172" t="s">
        <v>149</v>
      </c>
      <c r="AZ2" s="41" t="s">
        <v>96</v>
      </c>
      <c r="BA2" s="41" t="s">
        <v>97</v>
      </c>
      <c r="BB2" s="97" t="s">
        <v>98</v>
      </c>
      <c r="BC2" s="97" t="s">
        <v>99</v>
      </c>
      <c r="BD2" s="97" t="s">
        <v>100</v>
      </c>
      <c r="BE2" s="97" t="s">
        <v>101</v>
      </c>
      <c r="BF2" s="97" t="s">
        <v>102</v>
      </c>
      <c r="BG2" s="4"/>
      <c r="BH2" s="41" t="s">
        <v>96</v>
      </c>
      <c r="BI2" s="41" t="s">
        <v>97</v>
      </c>
      <c r="BJ2" s="97" t="s">
        <v>98</v>
      </c>
      <c r="BK2" s="97" t="s">
        <v>99</v>
      </c>
      <c r="BL2" s="97" t="s">
        <v>100</v>
      </c>
      <c r="BM2" s="97" t="s">
        <v>101</v>
      </c>
      <c r="BN2" s="97" t="s">
        <v>102</v>
      </c>
      <c r="BO2" s="4"/>
      <c r="BP2" s="41" t="s">
        <v>96</v>
      </c>
      <c r="BQ2" s="41" t="s">
        <v>97</v>
      </c>
      <c r="BR2" s="97" t="s">
        <v>98</v>
      </c>
      <c r="BS2" s="97" t="s">
        <v>99</v>
      </c>
      <c r="BT2" s="97" t="s">
        <v>100</v>
      </c>
      <c r="BU2" s="97" t="s">
        <v>101</v>
      </c>
      <c r="BV2" s="97" t="s">
        <v>102</v>
      </c>
      <c r="BW2" s="4"/>
      <c r="BX2" s="41" t="s">
        <v>96</v>
      </c>
      <c r="BY2" s="41" t="s">
        <v>97</v>
      </c>
      <c r="BZ2" s="97" t="s">
        <v>98</v>
      </c>
      <c r="CA2" s="97" t="s">
        <v>99</v>
      </c>
      <c r="CB2" s="97" t="s">
        <v>100</v>
      </c>
      <c r="CC2" s="97" t="s">
        <v>101</v>
      </c>
      <c r="CD2" s="97" t="s">
        <v>102</v>
      </c>
    </row>
    <row r="3" spans="1:82" ht="17" thickBot="1" x14ac:dyDescent="0.25">
      <c r="A3" s="209" t="s">
        <v>103</v>
      </c>
      <c r="B3" s="210">
        <f>B4+B13</f>
        <v>133757.875</v>
      </c>
      <c r="C3" s="210"/>
      <c r="D3" s="210"/>
      <c r="E3" s="210"/>
      <c r="F3" s="210"/>
      <c r="G3" s="210"/>
      <c r="H3" s="210"/>
      <c r="I3" s="210">
        <f>I4+I13</f>
        <v>131344.51822313861</v>
      </c>
      <c r="J3" s="210"/>
      <c r="K3" s="210"/>
      <c r="L3" s="210"/>
      <c r="M3" s="210"/>
      <c r="N3" s="210"/>
      <c r="O3" s="210"/>
      <c r="P3" s="210">
        <f>P4+P13</f>
        <v>140159.10748735385</v>
      </c>
      <c r="Q3" s="210"/>
      <c r="R3" s="210"/>
      <c r="S3" s="210"/>
      <c r="T3" s="210"/>
      <c r="U3" s="210"/>
      <c r="V3" s="210"/>
      <c r="W3" s="210">
        <f>W4+W13</f>
        <v>154951.44804838515</v>
      </c>
      <c r="X3" s="210"/>
      <c r="Y3" s="210"/>
      <c r="Z3" s="210"/>
      <c r="AA3" s="210"/>
      <c r="AB3" s="210"/>
      <c r="AC3" s="210"/>
      <c r="AD3" s="210">
        <f>AD4+AD13</f>
        <v>170707.99858195509</v>
      </c>
      <c r="AE3" s="210"/>
      <c r="AF3" s="210"/>
      <c r="AG3" s="210"/>
      <c r="AH3" s="210"/>
      <c r="AI3" s="210"/>
      <c r="AJ3" s="210"/>
      <c r="AK3" s="210">
        <f>AK4+AK13</f>
        <v>184451.18261682644</v>
      </c>
      <c r="AL3" s="210"/>
      <c r="AM3" s="210"/>
      <c r="AN3" s="210"/>
      <c r="AO3" s="210"/>
      <c r="AP3" s="210"/>
      <c r="AQ3" s="210"/>
      <c r="AR3" s="210">
        <f>AR4+AR13</f>
        <v>196203.68884078128</v>
      </c>
      <c r="AS3" s="210"/>
      <c r="AT3" s="210"/>
      <c r="AU3" s="210"/>
      <c r="AV3" s="210"/>
      <c r="AW3" s="210"/>
      <c r="AX3" s="210"/>
      <c r="AZ3" s="67">
        <f t="shared" ref="AZ3:BF3" si="0">AZ4+AZ13</f>
        <v>66691.8</v>
      </c>
      <c r="BA3" s="67">
        <f t="shared" si="0"/>
        <v>64982.35</v>
      </c>
      <c r="BB3" s="67">
        <f t="shared" si="0"/>
        <v>65053.023441999991</v>
      </c>
      <c r="BC3" s="67">
        <f t="shared" si="0"/>
        <v>66315.460157399997</v>
      </c>
      <c r="BD3" s="67">
        <f t="shared" si="0"/>
        <v>67465.883673000004</v>
      </c>
      <c r="BE3" s="67">
        <f t="shared" si="0"/>
        <v>67548.250056639998</v>
      </c>
      <c r="BF3" s="53">
        <f t="shared" si="0"/>
        <v>67787.438216775801</v>
      </c>
      <c r="BG3" s="4"/>
      <c r="BH3" s="67">
        <v>53576.95</v>
      </c>
      <c r="BI3" s="67">
        <v>53768.641012605265</v>
      </c>
      <c r="BJ3" s="67">
        <v>58666.123774820509</v>
      </c>
      <c r="BK3" s="67">
        <v>63408.909758451809</v>
      </c>
      <c r="BL3" s="67">
        <v>66857.26583642175</v>
      </c>
      <c r="BM3" s="67">
        <v>70045.078339813103</v>
      </c>
      <c r="BN3" s="53">
        <v>73213.68308635171</v>
      </c>
      <c r="BO3" s="4"/>
      <c r="BP3" s="67">
        <v>16911.2</v>
      </c>
      <c r="BQ3" s="67">
        <v>16086.2</v>
      </c>
      <c r="BR3" s="67">
        <v>18844.346249999995</v>
      </c>
      <c r="BS3" s="67">
        <v>26982.042562000002</v>
      </c>
      <c r="BT3" s="67">
        <v>37304.998461999996</v>
      </c>
      <c r="BU3" s="67">
        <v>46730.366799840005</v>
      </c>
      <c r="BV3" s="53">
        <v>54083.627217120425</v>
      </c>
      <c r="BW3" s="4"/>
      <c r="BX3" s="67">
        <v>4995.75</v>
      </c>
      <c r="BY3" s="67">
        <v>4633.173107755546</v>
      </c>
      <c r="BZ3" s="67">
        <v>7260.795826622214</v>
      </c>
      <c r="CA3" s="67">
        <v>10425.534344944992</v>
      </c>
      <c r="CB3" s="67">
        <v>14208.251058273992</v>
      </c>
      <c r="CC3" s="67">
        <v>18700.373807360502</v>
      </c>
      <c r="CD3" s="53">
        <v>23005.216840127086</v>
      </c>
    </row>
    <row r="4" spans="1:82" x14ac:dyDescent="0.2">
      <c r="A4" s="211" t="s">
        <v>104</v>
      </c>
      <c r="B4" s="210">
        <f>SUM(B5:B8)</f>
        <v>98313.725000000006</v>
      </c>
      <c r="C4" s="210"/>
      <c r="D4" s="210"/>
      <c r="E4" s="210"/>
      <c r="F4" s="210"/>
      <c r="G4" s="210"/>
      <c r="H4" s="210"/>
      <c r="I4" s="210">
        <f>SUM(I5:I8)</f>
        <v>101225.42444199928</v>
      </c>
      <c r="P4" s="210">
        <f>SUM(P5:P8)</f>
        <v>97228.420833734286</v>
      </c>
      <c r="W4" s="210">
        <f>SUM(W5:W8)</f>
        <v>93148.475592464703</v>
      </c>
      <c r="AD4" s="210">
        <f>SUM(AD5:AD8)</f>
        <v>88996.520713675287</v>
      </c>
      <c r="AK4" s="210">
        <f>SUM(AK5:AK8)</f>
        <v>84785.927626612465</v>
      </c>
      <c r="AR4" s="210">
        <f>SUM(AR5:AR8)</f>
        <v>80232.863572931776</v>
      </c>
      <c r="AZ4" s="62">
        <f>SUM(AZ5:AZ8)</f>
        <v>51046.8</v>
      </c>
      <c r="BA4" s="62">
        <f t="shared" ref="BA4:BF4" si="1">SUM(BA5:BA8)</f>
        <v>53846</v>
      </c>
      <c r="BB4" s="48">
        <f t="shared" si="1"/>
        <v>52057.399999999994</v>
      </c>
      <c r="BC4" s="48">
        <f t="shared" si="1"/>
        <v>50809.37</v>
      </c>
      <c r="BD4" s="48">
        <f t="shared" si="1"/>
        <v>49498.938500000004</v>
      </c>
      <c r="BE4" s="48">
        <f t="shared" si="1"/>
        <v>48122.985424999999</v>
      </c>
      <c r="BF4" s="54">
        <f t="shared" si="1"/>
        <v>46678.234696250001</v>
      </c>
      <c r="BG4" s="4"/>
      <c r="BH4" s="48">
        <v>35926</v>
      </c>
      <c r="BI4" s="48">
        <v>36026.09723146593</v>
      </c>
      <c r="BJ4" s="48">
        <v>33395.086813200956</v>
      </c>
      <c r="BK4" s="48">
        <v>30619.37082193137</v>
      </c>
      <c r="BL4" s="48">
        <v>27690.990451141952</v>
      </c>
      <c r="BM4" s="48">
        <v>24601.549159959133</v>
      </c>
      <c r="BN4" s="54">
        <v>21342.18859776124</v>
      </c>
      <c r="BO4" s="4"/>
      <c r="BP4" s="48">
        <v>14763</v>
      </c>
      <c r="BQ4" s="48">
        <v>14846</v>
      </c>
      <c r="BR4" s="48">
        <v>14180.32</v>
      </c>
      <c r="BS4" s="48">
        <v>13474.699199999995</v>
      </c>
      <c r="BT4" s="48">
        <v>12726.741151999995</v>
      </c>
      <c r="BU4" s="48">
        <v>11933.905621120002</v>
      </c>
      <c r="BV4" s="54">
        <v>11093.499958387203</v>
      </c>
      <c r="BW4" s="4"/>
      <c r="BX4" s="48">
        <v>1556</v>
      </c>
      <c r="BY4" s="48">
        <v>1545.7111111111064</v>
      </c>
      <c r="BZ4" s="48">
        <v>1398.4164888888859</v>
      </c>
      <c r="CA4" s="48">
        <v>1245.2300817777746</v>
      </c>
      <c r="CB4" s="48">
        <v>1085.9162183822198</v>
      </c>
      <c r="CC4" s="48">
        <v>920.22980045084705</v>
      </c>
      <c r="CD4" s="54">
        <v>747.91592580221641</v>
      </c>
    </row>
    <row r="5" spans="1:82" x14ac:dyDescent="0.2">
      <c r="A5" s="212" t="s">
        <v>105</v>
      </c>
      <c r="B5" s="210">
        <f>(AZ5+BH5+BP5)</f>
        <v>47888.800000000003</v>
      </c>
      <c r="C5" s="210"/>
      <c r="D5" s="210"/>
      <c r="E5" s="210"/>
      <c r="F5" s="210"/>
      <c r="G5" s="210"/>
      <c r="H5" s="210"/>
      <c r="I5" s="210">
        <f>BA5+BI5+BQ5</f>
        <v>47551.903448275865</v>
      </c>
      <c r="P5" s="210">
        <f>BB5+BJ5+BR5</f>
        <v>45842.690403019478</v>
      </c>
      <c r="W5" s="210">
        <f>BC5+BK5+BS5</f>
        <v>43698.147460139007</v>
      </c>
      <c r="AD5" s="210">
        <f>BD5+BL5+BT5</f>
        <v>41281.945834823047</v>
      </c>
      <c r="AK5" s="210">
        <f>BE5+BM5+BU5</f>
        <v>38850.514177413315</v>
      </c>
      <c r="AR5" s="210">
        <f>BF5+BN5+BV5</f>
        <v>36603.729384847546</v>
      </c>
      <c r="AZ5" s="135">
        <v>36499.800000000003</v>
      </c>
      <c r="BA5" s="91">
        <v>36163</v>
      </c>
      <c r="BB5" s="91">
        <v>35721.817999999992</v>
      </c>
      <c r="BC5" s="91">
        <v>34810.267026000001</v>
      </c>
      <c r="BD5" s="91">
        <v>33593.845953882003</v>
      </c>
      <c r="BE5" s="91">
        <v>32330.860858365075</v>
      </c>
      <c r="BF5" s="77">
        <v>31224.220485980379</v>
      </c>
      <c r="BG5" s="4"/>
      <c r="BH5" s="72">
        <v>3826</v>
      </c>
      <c r="BI5" s="72">
        <v>3825.903448275862</v>
      </c>
      <c r="BJ5" s="91">
        <v>3067.8814030194872</v>
      </c>
      <c r="BK5" s="91">
        <v>2310.5330871390088</v>
      </c>
      <c r="BL5" s="91">
        <v>1554.622452262045</v>
      </c>
      <c r="BM5" s="91">
        <v>799.99908114643245</v>
      </c>
      <c r="BN5" s="77">
        <v>45.545514219780216</v>
      </c>
      <c r="BO5" s="4"/>
      <c r="BP5" s="72">
        <v>7563</v>
      </c>
      <c r="BQ5" s="72">
        <v>7563</v>
      </c>
      <c r="BR5" s="91">
        <v>7052.9909999999991</v>
      </c>
      <c r="BS5" s="91">
        <v>6577.3473469999954</v>
      </c>
      <c r="BT5" s="91">
        <v>6133.4774286789961</v>
      </c>
      <c r="BU5" s="91">
        <v>5719.6542379018065</v>
      </c>
      <c r="BV5" s="77">
        <v>5333.9633846473898</v>
      </c>
      <c r="BW5" s="4"/>
      <c r="BX5" s="72">
        <v>926</v>
      </c>
      <c r="BY5" s="72">
        <v>925.1555555555509</v>
      </c>
      <c r="BZ5" s="91">
        <v>778.74482222221934</v>
      </c>
      <c r="CA5" s="91">
        <v>626.40429677777456</v>
      </c>
      <c r="CB5" s="91">
        <v>467.8999421372198</v>
      </c>
      <c r="CC5" s="91">
        <v>302.98822408438207</v>
      </c>
      <c r="CD5" s="77">
        <v>131.41573721950937</v>
      </c>
    </row>
    <row r="6" spans="1:82" x14ac:dyDescent="0.2">
      <c r="A6" s="212" t="s">
        <v>106</v>
      </c>
      <c r="B6" s="210">
        <f t="shared" ref="B6" si="2">(AZ6+BH6+BP6)</f>
        <v>48090</v>
      </c>
      <c r="C6" s="210"/>
      <c r="D6" s="210"/>
      <c r="E6" s="210"/>
      <c r="F6" s="210"/>
      <c r="G6" s="210"/>
      <c r="H6" s="210"/>
      <c r="I6" s="210">
        <f t="shared" ref="I6" si="3">BA6+BI6+BQ6</f>
        <v>51423.193783190072</v>
      </c>
      <c r="P6" s="210">
        <f t="shared" ref="P6" si="4">BB6+BJ6+BR6</f>
        <v>48047.116410181472</v>
      </c>
      <c r="W6" s="210">
        <f t="shared" ref="W6:W13" si="5">BC6+BK6+BS6</f>
        <v>45462.292561792361</v>
      </c>
      <c r="AD6" s="210">
        <f t="shared" ref="AD6:AD15" si="6">BD6+BL6+BT6</f>
        <v>42891.724268318903</v>
      </c>
      <c r="AK6" s="210">
        <f t="shared" ref="AK6:AK15" si="7">BE6+BM6+BU6</f>
        <v>40064.926028665817</v>
      </c>
      <c r="AR6" s="210">
        <f t="shared" ref="AR6:AR15" si="8">BF6+BN6+BV6</f>
        <v>36767.193867550901</v>
      </c>
      <c r="AZ6" s="62">
        <v>9990</v>
      </c>
      <c r="BA6" s="62">
        <v>13126</v>
      </c>
      <c r="BB6" s="62">
        <v>11778.582</v>
      </c>
      <c r="BC6" s="62">
        <v>11442.102973999999</v>
      </c>
      <c r="BD6" s="62">
        <v>11348.092546118</v>
      </c>
      <c r="BE6" s="62">
        <v>11235.124566634926</v>
      </c>
      <c r="BF6" s="7">
        <v>10897.014210269625</v>
      </c>
      <c r="BG6" s="4"/>
      <c r="BH6" s="48">
        <v>31600</v>
      </c>
      <c r="BI6" s="48">
        <v>31700.193783190069</v>
      </c>
      <c r="BJ6" s="62">
        <v>29827.205410181472</v>
      </c>
      <c r="BK6" s="62">
        <v>27808.837734792363</v>
      </c>
      <c r="BL6" s="62">
        <v>25636.367998879905</v>
      </c>
      <c r="BM6" s="62">
        <v>23301.550078812699</v>
      </c>
      <c r="BN6" s="7">
        <v>20796.643083541461</v>
      </c>
      <c r="BO6" s="4"/>
      <c r="BP6" s="48">
        <v>6500</v>
      </c>
      <c r="BQ6" s="48">
        <v>6597</v>
      </c>
      <c r="BR6" s="62">
        <v>6441.3289999999997</v>
      </c>
      <c r="BS6" s="62">
        <v>6211.3518529999992</v>
      </c>
      <c r="BT6" s="62">
        <v>5907.2637233209989</v>
      </c>
      <c r="BU6" s="62">
        <v>5528.2513832181958</v>
      </c>
      <c r="BV6" s="7">
        <v>5073.5365737398133</v>
      </c>
      <c r="BW6" s="4"/>
      <c r="BX6" s="48">
        <v>30</v>
      </c>
      <c r="BY6" s="48">
        <v>20.555555555555557</v>
      </c>
      <c r="BZ6" s="62">
        <v>19.671666666666667</v>
      </c>
      <c r="CA6" s="62">
        <v>18.825785</v>
      </c>
      <c r="CB6" s="62">
        <v>18.016276245</v>
      </c>
      <c r="CC6" s="62">
        <v>17.241576366465001</v>
      </c>
      <c r="CD6" s="7">
        <v>16.500188582707004</v>
      </c>
    </row>
    <row r="7" spans="1:82" x14ac:dyDescent="0.2">
      <c r="A7" s="212" t="s">
        <v>107</v>
      </c>
      <c r="B7" s="210">
        <f>(AZ7+BH7+BP7)+G7</f>
        <v>1642</v>
      </c>
      <c r="C7" s="210"/>
      <c r="D7" s="210"/>
      <c r="E7" s="210"/>
      <c r="F7" s="210"/>
      <c r="G7" s="221">
        <f>-Вводные!C32</f>
        <v>-600</v>
      </c>
      <c r="H7" s="210"/>
      <c r="I7" s="210">
        <f>BA7+BI7+BQ7+N7</f>
        <v>1628</v>
      </c>
      <c r="N7" s="221">
        <f>G7</f>
        <v>-600</v>
      </c>
      <c r="P7" s="210">
        <f>BB7+BJ7+BR7</f>
        <v>2228</v>
      </c>
      <c r="U7" s="221"/>
      <c r="W7" s="210">
        <f t="shared" si="5"/>
        <v>2228</v>
      </c>
      <c r="AD7" s="210">
        <f t="shared" si="6"/>
        <v>2228</v>
      </c>
      <c r="AK7" s="210">
        <f t="shared" si="7"/>
        <v>2228</v>
      </c>
      <c r="AR7" s="210">
        <f t="shared" si="8"/>
        <v>2228</v>
      </c>
      <c r="AZ7" s="62">
        <v>1042</v>
      </c>
      <c r="BA7" s="62">
        <v>1042</v>
      </c>
      <c r="BB7" s="62">
        <v>1042</v>
      </c>
      <c r="BC7" s="62">
        <v>1042</v>
      </c>
      <c r="BD7" s="62">
        <v>1042</v>
      </c>
      <c r="BE7" s="62">
        <v>1042</v>
      </c>
      <c r="BF7" s="7">
        <v>1042</v>
      </c>
      <c r="BG7" s="4"/>
      <c r="BH7" s="48">
        <v>500</v>
      </c>
      <c r="BI7" s="48">
        <v>500</v>
      </c>
      <c r="BJ7" s="62">
        <v>500</v>
      </c>
      <c r="BK7" s="62">
        <v>500</v>
      </c>
      <c r="BL7" s="62">
        <v>500</v>
      </c>
      <c r="BM7" s="62">
        <v>500</v>
      </c>
      <c r="BN7" s="7">
        <v>500</v>
      </c>
      <c r="BO7" s="4"/>
      <c r="BP7" s="48">
        <v>700</v>
      </c>
      <c r="BQ7" s="48">
        <v>686</v>
      </c>
      <c r="BR7" s="62">
        <v>686</v>
      </c>
      <c r="BS7" s="62">
        <v>686</v>
      </c>
      <c r="BT7" s="62">
        <v>686</v>
      </c>
      <c r="BU7" s="62">
        <v>686</v>
      </c>
      <c r="BV7" s="7">
        <v>686</v>
      </c>
      <c r="BW7" s="4"/>
      <c r="BX7" s="48">
        <v>600</v>
      </c>
      <c r="BY7" s="48">
        <v>600</v>
      </c>
      <c r="BZ7" s="62">
        <v>600</v>
      </c>
      <c r="CA7" s="62">
        <v>600</v>
      </c>
      <c r="CB7" s="62">
        <v>600</v>
      </c>
      <c r="CC7" s="62">
        <v>600</v>
      </c>
      <c r="CD7" s="7">
        <v>600</v>
      </c>
    </row>
    <row r="8" spans="1:82" x14ac:dyDescent="0.2">
      <c r="A8" s="212" t="s">
        <v>108</v>
      </c>
      <c r="B8" s="210">
        <f>SUM(B9:B11)</f>
        <v>692.92500000000007</v>
      </c>
      <c r="C8" s="210"/>
      <c r="D8" s="210"/>
      <c r="E8" s="210"/>
      <c r="F8" s="210"/>
      <c r="G8" s="210"/>
      <c r="H8" s="210"/>
      <c r="I8" s="210">
        <f>SUM(I9:I11)</f>
        <v>622.32721053333535</v>
      </c>
      <c r="P8" s="210">
        <f>SUM(P9:P11)</f>
        <v>1110.6140205333359</v>
      </c>
      <c r="W8" s="210">
        <f>SUM(W9:W11)</f>
        <v>1760.0355705333322</v>
      </c>
      <c r="AD8" s="210">
        <f>SUM(AD9:AD11)</f>
        <v>2594.8506105333349</v>
      </c>
      <c r="AK8" s="210">
        <f>SUM(AK9:AK11)</f>
        <v>3642.4874205333349</v>
      </c>
      <c r="AR8" s="210">
        <f>SUM(AR9:AR11)</f>
        <v>4633.9403205333301</v>
      </c>
      <c r="AZ8" s="62">
        <v>3515</v>
      </c>
      <c r="BA8" s="62">
        <v>3515</v>
      </c>
      <c r="BB8" s="62">
        <v>3515</v>
      </c>
      <c r="BC8" s="62">
        <v>3515</v>
      </c>
      <c r="BD8" s="62">
        <v>3515</v>
      </c>
      <c r="BE8" s="62">
        <v>3515</v>
      </c>
      <c r="BF8" s="7">
        <v>3515</v>
      </c>
      <c r="BG8" s="4"/>
      <c r="BH8" s="48">
        <v>0</v>
      </c>
      <c r="BI8" s="48">
        <v>0</v>
      </c>
      <c r="BJ8" s="62">
        <v>0</v>
      </c>
      <c r="BK8" s="62">
        <v>0</v>
      </c>
      <c r="BL8" s="62">
        <v>0</v>
      </c>
      <c r="BM8" s="62">
        <v>0</v>
      </c>
      <c r="BN8" s="7">
        <v>0</v>
      </c>
      <c r="BO8" s="4"/>
      <c r="BP8" s="48">
        <v>0</v>
      </c>
      <c r="BQ8" s="48">
        <v>0</v>
      </c>
      <c r="BR8" s="62">
        <v>0</v>
      </c>
      <c r="BS8" s="62">
        <v>0</v>
      </c>
      <c r="BT8" s="62">
        <v>0</v>
      </c>
      <c r="BU8" s="62">
        <v>0</v>
      </c>
      <c r="BV8" s="7">
        <v>0</v>
      </c>
      <c r="BW8" s="4"/>
      <c r="BX8" s="48">
        <v>0</v>
      </c>
      <c r="BY8" s="48">
        <v>0</v>
      </c>
      <c r="BZ8" s="62">
        <v>0</v>
      </c>
      <c r="CA8" s="62">
        <v>0</v>
      </c>
      <c r="CB8" s="62">
        <v>0</v>
      </c>
      <c r="CC8" s="62">
        <v>0</v>
      </c>
      <c r="CD8" s="7">
        <v>0</v>
      </c>
    </row>
    <row r="9" spans="1:82" x14ac:dyDescent="0.2">
      <c r="A9" s="213" t="s">
        <v>109</v>
      </c>
      <c r="B9" s="221">
        <f>(AZ9+BH9+BP9)+SUM(C9:H9)</f>
        <v>0</v>
      </c>
      <c r="C9" s="210"/>
      <c r="D9" s="210"/>
      <c r="E9" s="210"/>
      <c r="F9" s="210"/>
      <c r="G9" s="210"/>
      <c r="H9" s="221">
        <f>-B97</f>
        <v>-2000</v>
      </c>
      <c r="I9" s="221">
        <f>BA9+BI9+BQ9+O9</f>
        <v>0</v>
      </c>
      <c r="O9" s="221">
        <f>H9</f>
        <v>-2000</v>
      </c>
      <c r="P9" s="221">
        <f>BB9+BJ9+BR9+V9</f>
        <v>0</v>
      </c>
      <c r="V9" s="221">
        <f>O9</f>
        <v>-2000</v>
      </c>
      <c r="W9" s="221">
        <f>BC9+BK9+AC9</f>
        <v>0</v>
      </c>
      <c r="AC9" s="221">
        <f>V9</f>
        <v>-2000</v>
      </c>
      <c r="AD9" s="221">
        <f>BD9+BL9+BT9+AJ9</f>
        <v>0</v>
      </c>
      <c r="AJ9" s="221">
        <f>AC9</f>
        <v>-2000</v>
      </c>
      <c r="AK9" s="221">
        <f>BE9+BM9+BU9+AQ9</f>
        <v>0</v>
      </c>
      <c r="AQ9" s="221">
        <f>AJ9</f>
        <v>-2000</v>
      </c>
      <c r="AR9" s="221">
        <f>BF9+BN9+BV9+AX9</f>
        <v>0</v>
      </c>
      <c r="AX9" s="221">
        <f>AQ9</f>
        <v>-2000</v>
      </c>
      <c r="AZ9" s="92">
        <v>2000</v>
      </c>
      <c r="BA9" s="92">
        <v>2000</v>
      </c>
      <c r="BB9" s="92">
        <v>2000</v>
      </c>
      <c r="BC9" s="92">
        <v>2000</v>
      </c>
      <c r="BD9" s="92">
        <v>2000</v>
      </c>
      <c r="BE9" s="92">
        <v>2000</v>
      </c>
      <c r="BF9" s="73">
        <v>2000</v>
      </c>
      <c r="BG9" s="4"/>
      <c r="BH9" s="92">
        <v>0</v>
      </c>
      <c r="BI9" s="92">
        <v>0</v>
      </c>
      <c r="BJ9" s="93">
        <v>0</v>
      </c>
      <c r="BK9" s="93">
        <v>0</v>
      </c>
      <c r="BL9" s="93">
        <v>0</v>
      </c>
      <c r="BM9" s="93">
        <v>0</v>
      </c>
      <c r="BN9" s="73">
        <v>0</v>
      </c>
      <c r="BO9" s="4"/>
      <c r="BP9" s="92">
        <v>0</v>
      </c>
      <c r="BQ9" s="92">
        <v>0</v>
      </c>
      <c r="BR9" s="93">
        <v>0</v>
      </c>
      <c r="BS9" s="93">
        <v>0</v>
      </c>
      <c r="BT9" s="93">
        <v>0</v>
      </c>
      <c r="BU9" s="93">
        <v>0</v>
      </c>
      <c r="BV9" s="73">
        <v>0</v>
      </c>
      <c r="BW9" s="4"/>
      <c r="BX9" s="92">
        <v>0</v>
      </c>
      <c r="BY9" s="92">
        <v>0</v>
      </c>
      <c r="BZ9" s="93">
        <v>0</v>
      </c>
      <c r="CA9" s="93">
        <v>0</v>
      </c>
      <c r="CB9" s="93">
        <v>0</v>
      </c>
      <c r="CC9" s="93">
        <v>0</v>
      </c>
      <c r="CD9" s="73">
        <v>0</v>
      </c>
    </row>
    <row r="10" spans="1:82" x14ac:dyDescent="0.2">
      <c r="A10" s="213" t="s">
        <v>110</v>
      </c>
      <c r="B10" s="221">
        <f>(AZ10+BH10+BP10)+SUM(C10:H10)</f>
        <v>0</v>
      </c>
      <c r="C10" s="210"/>
      <c r="D10" s="210"/>
      <c r="E10" s="210"/>
      <c r="F10" s="210"/>
      <c r="G10" s="210"/>
      <c r="H10" s="221">
        <f>-B98</f>
        <v>-1500</v>
      </c>
      <c r="I10" s="221">
        <f>BA10+BI10+BQ10+O10</f>
        <v>0</v>
      </c>
      <c r="O10" s="221">
        <f t="shared" ref="O10:O11" si="9">H10</f>
        <v>-1500</v>
      </c>
      <c r="P10" s="221">
        <f t="shared" ref="P10" si="10">BB10+BJ10+BR10+V10</f>
        <v>0</v>
      </c>
      <c r="V10" s="221">
        <f t="shared" ref="V10:V11" si="11">O10</f>
        <v>-1500</v>
      </c>
      <c r="W10" s="221">
        <f t="shared" ref="W10" si="12">BC10+BK10+AC10</f>
        <v>0</v>
      </c>
      <c r="AC10" s="221">
        <f t="shared" ref="AC10:AC11" si="13">V10</f>
        <v>-1500</v>
      </c>
      <c r="AD10" s="221">
        <f t="shared" ref="AD10" si="14">BD10+BL10+BT10+AJ10</f>
        <v>0</v>
      </c>
      <c r="AJ10" s="221">
        <f t="shared" ref="AJ10:AJ11" si="15">AC10</f>
        <v>-1500</v>
      </c>
      <c r="AK10" s="221">
        <f t="shared" ref="AK10" si="16">BE10+BM10+BU10+AQ10</f>
        <v>0</v>
      </c>
      <c r="AQ10" s="221">
        <f t="shared" ref="AQ10:AQ11" si="17">AJ10</f>
        <v>-1500</v>
      </c>
      <c r="AR10" s="221">
        <f t="shared" ref="AR10" si="18">BF10+BN10+BV10+AX10</f>
        <v>0</v>
      </c>
      <c r="AX10" s="221">
        <f t="shared" ref="AX10:AX11" si="19">AQ10</f>
        <v>-1500</v>
      </c>
      <c r="AZ10" s="92">
        <v>1500</v>
      </c>
      <c r="BA10" s="92">
        <v>1500</v>
      </c>
      <c r="BB10" s="93">
        <v>1500</v>
      </c>
      <c r="BC10" s="93">
        <v>1500</v>
      </c>
      <c r="BD10" s="93">
        <v>1500</v>
      </c>
      <c r="BE10" s="93">
        <v>1500</v>
      </c>
      <c r="BF10" s="73">
        <v>1500</v>
      </c>
      <c r="BG10" s="4"/>
      <c r="BH10" s="92">
        <v>0</v>
      </c>
      <c r="BI10" s="92">
        <v>0</v>
      </c>
      <c r="BJ10" s="93">
        <v>0</v>
      </c>
      <c r="BK10" s="93">
        <v>0</v>
      </c>
      <c r="BL10" s="93">
        <v>0</v>
      </c>
      <c r="BM10" s="93">
        <v>0</v>
      </c>
      <c r="BN10" s="73">
        <v>0</v>
      </c>
      <c r="BO10" s="4"/>
      <c r="BP10" s="92">
        <v>0</v>
      </c>
      <c r="BQ10" s="92">
        <v>0</v>
      </c>
      <c r="BR10" s="93">
        <v>0</v>
      </c>
      <c r="BS10" s="93">
        <v>0</v>
      </c>
      <c r="BT10" s="93">
        <v>0</v>
      </c>
      <c r="BU10" s="93">
        <v>0</v>
      </c>
      <c r="BV10" s="73">
        <v>0</v>
      </c>
      <c r="BW10" s="4"/>
      <c r="BX10" s="92">
        <v>0</v>
      </c>
      <c r="BY10" s="92">
        <v>0</v>
      </c>
      <c r="BZ10" s="93">
        <v>0</v>
      </c>
      <c r="CA10" s="93">
        <v>0</v>
      </c>
      <c r="CB10" s="93">
        <v>0</v>
      </c>
      <c r="CC10" s="93">
        <v>0</v>
      </c>
      <c r="CD10" s="73">
        <v>0</v>
      </c>
    </row>
    <row r="11" spans="1:82" x14ac:dyDescent="0.2">
      <c r="A11" s="213" t="s">
        <v>111</v>
      </c>
      <c r="B11" s="221">
        <f>(AZ11+BH11+BP11)+SUM(C11:H11)</f>
        <v>692.92500000000007</v>
      </c>
      <c r="C11" s="210"/>
      <c r="D11" s="210"/>
      <c r="E11" s="210"/>
      <c r="F11" s="210"/>
      <c r="G11" s="221">
        <f>B99</f>
        <v>692.92500000000007</v>
      </c>
      <c r="H11" s="221">
        <f>-B96</f>
        <v>-15</v>
      </c>
      <c r="I11" s="221">
        <f>BA11+BI11+BQ11+O11+N11</f>
        <v>622.32721053333535</v>
      </c>
      <c r="N11" s="273">
        <f>C99</f>
        <v>622.32721053333535</v>
      </c>
      <c r="O11" s="221">
        <f t="shared" si="9"/>
        <v>-15</v>
      </c>
      <c r="P11" s="221">
        <f>U11</f>
        <v>1110.6140205333359</v>
      </c>
      <c r="U11" s="273">
        <f>D99</f>
        <v>1110.6140205333359</v>
      </c>
      <c r="V11" s="221">
        <f t="shared" si="11"/>
        <v>-15</v>
      </c>
      <c r="W11" s="221">
        <f>BC11+BK11+BS11+AB11+AC11</f>
        <v>1760.0355705333322</v>
      </c>
      <c r="AB11" s="273">
        <f>E99</f>
        <v>1760.0355705333322</v>
      </c>
      <c r="AC11" s="221">
        <f t="shared" si="13"/>
        <v>-15</v>
      </c>
      <c r="AD11" s="221">
        <f>BD11+BL11+BT11+AJ11+AI11</f>
        <v>2594.8506105333349</v>
      </c>
      <c r="AI11" s="273">
        <f>F99</f>
        <v>2594.8506105333349</v>
      </c>
      <c r="AJ11" s="221">
        <f t="shared" si="15"/>
        <v>-15</v>
      </c>
      <c r="AK11" s="221">
        <f>BE11+BM11+BU11+AQ11+AP11</f>
        <v>3642.4874205333349</v>
      </c>
      <c r="AP11" s="273">
        <f>G99</f>
        <v>3642.4874205333349</v>
      </c>
      <c r="AQ11" s="221">
        <f t="shared" si="17"/>
        <v>-15</v>
      </c>
      <c r="AR11" s="221">
        <f>BF11+BN11+BV11+AX11+AW11</f>
        <v>4633.9403205333301</v>
      </c>
      <c r="AW11" s="273">
        <f>H99</f>
        <v>4633.9403205333301</v>
      </c>
      <c r="AX11" s="221">
        <f t="shared" si="19"/>
        <v>-15</v>
      </c>
      <c r="AZ11" s="92">
        <v>15</v>
      </c>
      <c r="BA11" s="92">
        <v>15</v>
      </c>
      <c r="BB11" s="93">
        <v>15</v>
      </c>
      <c r="BC11" s="93">
        <v>15</v>
      </c>
      <c r="BD11" s="93">
        <v>15</v>
      </c>
      <c r="BE11" s="93">
        <v>15</v>
      </c>
      <c r="BF11" s="73">
        <v>15</v>
      </c>
      <c r="BG11" s="4"/>
      <c r="BH11" s="92">
        <v>0</v>
      </c>
      <c r="BI11" s="92">
        <v>0</v>
      </c>
      <c r="BJ11" s="93">
        <v>0</v>
      </c>
      <c r="BK11" s="93">
        <v>0</v>
      </c>
      <c r="BL11" s="93">
        <v>0</v>
      </c>
      <c r="BM11" s="93">
        <v>0</v>
      </c>
      <c r="BN11" s="73">
        <v>0</v>
      </c>
      <c r="BO11" s="4"/>
      <c r="BP11" s="92">
        <v>0</v>
      </c>
      <c r="BQ11" s="92">
        <v>0</v>
      </c>
      <c r="BR11" s="93">
        <v>0</v>
      </c>
      <c r="BS11" s="93">
        <v>0</v>
      </c>
      <c r="BT11" s="93">
        <v>0</v>
      </c>
      <c r="BU11" s="93">
        <v>0</v>
      </c>
      <c r="BV11" s="73">
        <v>0</v>
      </c>
      <c r="BW11" s="4"/>
      <c r="BX11" s="92">
        <v>0</v>
      </c>
      <c r="BY11" s="92">
        <v>0</v>
      </c>
      <c r="BZ11" s="93">
        <v>0</v>
      </c>
      <c r="CA11" s="93">
        <v>0</v>
      </c>
      <c r="CB11" s="93">
        <v>0</v>
      </c>
      <c r="CC11" s="93">
        <v>0</v>
      </c>
      <c r="CD11" s="73">
        <v>0</v>
      </c>
    </row>
    <row r="12" spans="1:82" x14ac:dyDescent="0.2">
      <c r="A12" s="214"/>
      <c r="B12" s="210"/>
      <c r="C12" s="210"/>
      <c r="D12" s="210"/>
      <c r="E12" s="210"/>
      <c r="F12" s="210"/>
      <c r="G12" s="210"/>
      <c r="H12" s="210"/>
      <c r="P12" s="221"/>
      <c r="AZ12" s="408"/>
      <c r="BA12" s="408"/>
      <c r="BB12" s="408"/>
      <c r="BC12" s="408"/>
      <c r="BD12" s="408"/>
      <c r="BE12" s="408"/>
      <c r="BF12" s="408"/>
      <c r="BG12" s="4"/>
      <c r="BH12" s="408"/>
      <c r="BI12" s="408"/>
      <c r="BJ12" s="408"/>
      <c r="BK12" s="408"/>
      <c r="BL12" s="408"/>
      <c r="BM12" s="408"/>
      <c r="BN12" s="408"/>
      <c r="BO12" s="4"/>
      <c r="BP12" s="408"/>
      <c r="BQ12" s="408"/>
      <c r="BR12" s="408"/>
      <c r="BS12" s="408"/>
      <c r="BT12" s="408"/>
      <c r="BU12" s="408"/>
      <c r="BV12" s="408"/>
      <c r="BW12" s="4"/>
      <c r="BX12" s="408"/>
      <c r="BY12" s="408"/>
      <c r="BZ12" s="408"/>
      <c r="CA12" s="408"/>
      <c r="CB12" s="408"/>
      <c r="CC12" s="408"/>
      <c r="CD12" s="408"/>
    </row>
    <row r="13" spans="1:82" x14ac:dyDescent="0.2">
      <c r="A13" s="215" t="s">
        <v>112</v>
      </c>
      <c r="B13" s="210">
        <f>(AZ13+BH13+BP13)</f>
        <v>35444.149999999994</v>
      </c>
      <c r="C13" s="210"/>
      <c r="D13" s="210"/>
      <c r="E13" s="210"/>
      <c r="F13" s="210"/>
      <c r="G13" s="210"/>
      <c r="H13" s="210"/>
      <c r="I13" s="210">
        <f>BA13+BI13+BQ13</f>
        <v>30119.093781139334</v>
      </c>
      <c r="P13" s="210">
        <f>BB13+BJ13+BR13</f>
        <v>42930.686653619545</v>
      </c>
      <c r="W13" s="210">
        <f t="shared" si="5"/>
        <v>61802.972455920448</v>
      </c>
      <c r="AD13" s="210">
        <f t="shared" si="6"/>
        <v>81711.477868279791</v>
      </c>
      <c r="AK13" s="210">
        <f t="shared" si="7"/>
        <v>99665.254990213958</v>
      </c>
      <c r="AR13" s="210">
        <f t="shared" si="8"/>
        <v>115970.82526784949</v>
      </c>
      <c r="AZ13" s="48">
        <f t="shared" ref="AZ13:BF13" si="20">SUM(AZ14:AZ15)</f>
        <v>15645</v>
      </c>
      <c r="BA13" s="48">
        <f t="shared" si="20"/>
        <v>11136.35</v>
      </c>
      <c r="BB13" s="48">
        <f t="shared" si="20"/>
        <v>12995.623442</v>
      </c>
      <c r="BC13" s="48">
        <f t="shared" si="20"/>
        <v>15506.0901574</v>
      </c>
      <c r="BD13" s="48">
        <f t="shared" si="20"/>
        <v>17966.945173</v>
      </c>
      <c r="BE13" s="48">
        <f t="shared" si="20"/>
        <v>19425.264631639999</v>
      </c>
      <c r="BF13" s="54">
        <f t="shared" si="20"/>
        <v>21109.2035205258</v>
      </c>
      <c r="BG13" s="4"/>
      <c r="BH13" s="48">
        <v>17650.949999999997</v>
      </c>
      <c r="BI13" s="48">
        <v>17742.543781139331</v>
      </c>
      <c r="BJ13" s="48">
        <v>25271.036961619553</v>
      </c>
      <c r="BK13" s="48">
        <v>32789.538936520439</v>
      </c>
      <c r="BL13" s="48">
        <v>39166.27538527979</v>
      </c>
      <c r="BM13" s="48">
        <v>45443.529179853962</v>
      </c>
      <c r="BN13" s="54">
        <v>51871.49448859047</v>
      </c>
      <c r="BO13" s="4"/>
      <c r="BP13" s="48">
        <v>2148.2000000000007</v>
      </c>
      <c r="BQ13" s="48">
        <v>1240.2000000000007</v>
      </c>
      <c r="BR13" s="48">
        <v>4664.0262499999972</v>
      </c>
      <c r="BS13" s="48">
        <v>13507.343362000005</v>
      </c>
      <c r="BT13" s="48">
        <v>24578.257310000001</v>
      </c>
      <c r="BU13" s="48">
        <v>34796.461178720005</v>
      </c>
      <c r="BV13" s="54">
        <v>42990.127258733221</v>
      </c>
      <c r="BW13" s="4"/>
      <c r="BX13" s="48">
        <v>3439.75</v>
      </c>
      <c r="BY13" s="48">
        <v>3087.4619966444398</v>
      </c>
      <c r="BZ13" s="48">
        <v>5862.3793377333286</v>
      </c>
      <c r="CA13" s="48">
        <v>9180.3042631672179</v>
      </c>
      <c r="CB13" s="48">
        <v>13122.334839891773</v>
      </c>
      <c r="CC13" s="48">
        <v>17780.144006909653</v>
      </c>
      <c r="CD13" s="54">
        <v>22257.300914324871</v>
      </c>
    </row>
    <row r="14" spans="1:82" x14ac:dyDescent="0.2">
      <c r="A14" s="211" t="s">
        <v>113</v>
      </c>
      <c r="B14" s="221">
        <f t="shared" ref="B14" si="21">(AZ14+BH14+BP14)</f>
        <v>7500</v>
      </c>
      <c r="C14" s="210"/>
      <c r="D14" s="210"/>
      <c r="E14" s="210"/>
      <c r="F14" s="210"/>
      <c r="G14" s="210"/>
      <c r="H14" s="210"/>
      <c r="I14" s="210">
        <f t="shared" ref="I14" si="22">BA14+BI14+BQ14</f>
        <v>7599.7853219906201</v>
      </c>
      <c r="P14" s="210">
        <f t="shared" ref="P14:P15" si="23">BB14+BJ14+BR14</f>
        <v>7592.5170599833036</v>
      </c>
      <c r="W14" s="210">
        <f t="shared" ref="W14:W15" si="24">BC14+BK14+BS14</f>
        <v>7588.2038395270956</v>
      </c>
      <c r="AD14" s="210">
        <f t="shared" si="6"/>
        <v>7586.7909480972321</v>
      </c>
      <c r="AK14" s="210">
        <f t="shared" si="7"/>
        <v>7588.2257353848372</v>
      </c>
      <c r="AR14" s="210">
        <f t="shared" si="8"/>
        <v>7592.4575566488729</v>
      </c>
      <c r="AZ14" s="72">
        <v>2300</v>
      </c>
      <c r="BA14" s="72">
        <v>2394</v>
      </c>
      <c r="BB14" s="91">
        <v>2322.1799999999998</v>
      </c>
      <c r="BC14" s="91">
        <v>2252.5146</v>
      </c>
      <c r="BD14" s="91">
        <v>2184.9391620000001</v>
      </c>
      <c r="BE14" s="91">
        <v>2119.3909871400001</v>
      </c>
      <c r="BF14" s="77">
        <v>2055.8092575258001</v>
      </c>
      <c r="BG14" s="4"/>
      <c r="BH14" s="72">
        <v>5200</v>
      </c>
      <c r="BI14" s="72">
        <v>5205.7853219906201</v>
      </c>
      <c r="BJ14" s="91">
        <v>5270.3370599833033</v>
      </c>
      <c r="BK14" s="91">
        <v>5335.6892395270961</v>
      </c>
      <c r="BL14" s="91">
        <v>5401.8517860972315</v>
      </c>
      <c r="BM14" s="91">
        <v>5468.8347482448371</v>
      </c>
      <c r="BN14" s="77">
        <v>5536.6482991230732</v>
      </c>
      <c r="BO14" s="4"/>
      <c r="BP14" s="72">
        <v>0</v>
      </c>
      <c r="BQ14" s="72">
        <v>0</v>
      </c>
      <c r="BR14" s="91">
        <v>0</v>
      </c>
      <c r="BS14" s="91">
        <v>0</v>
      </c>
      <c r="BT14" s="91">
        <v>0</v>
      </c>
      <c r="BU14" s="91">
        <v>0</v>
      </c>
      <c r="BV14" s="77">
        <v>0</v>
      </c>
      <c r="BW14" s="4"/>
      <c r="BX14" s="72">
        <v>100</v>
      </c>
      <c r="BY14" s="72">
        <v>141.11111111111111</v>
      </c>
      <c r="BZ14" s="91">
        <v>141.11111111111111</v>
      </c>
      <c r="CA14" s="91">
        <v>141.11111111111111</v>
      </c>
      <c r="CB14" s="91">
        <v>141.11111111111111</v>
      </c>
      <c r="CC14" s="91">
        <v>141.11111111111111</v>
      </c>
      <c r="CD14" s="77">
        <v>141.11111111111111</v>
      </c>
    </row>
    <row r="15" spans="1:82" x14ac:dyDescent="0.2">
      <c r="A15" s="216" t="s">
        <v>114</v>
      </c>
      <c r="B15" s="221">
        <f>(AZ15+BH15+BP15)</f>
        <v>27944.149999999998</v>
      </c>
      <c r="C15" s="210"/>
      <c r="D15" s="210"/>
      <c r="E15" s="210"/>
      <c r="F15" s="210"/>
      <c r="G15" s="221"/>
      <c r="H15" s="210"/>
      <c r="I15" s="210">
        <f>BA15+BI15+BQ15</f>
        <v>22519.30845914871</v>
      </c>
      <c r="N15" s="221"/>
      <c r="P15" s="210">
        <f t="shared" si="23"/>
        <v>35338.169593636245</v>
      </c>
      <c r="W15" s="210">
        <f t="shared" si="24"/>
        <v>54214.768616393347</v>
      </c>
      <c r="AD15" s="210">
        <f t="shared" si="6"/>
        <v>74124.686920182547</v>
      </c>
      <c r="AK15" s="210">
        <f t="shared" si="7"/>
        <v>92077.029254829133</v>
      </c>
      <c r="AR15" s="210">
        <f t="shared" si="8"/>
        <v>108378.36771120061</v>
      </c>
      <c r="AZ15" s="148">
        <v>13345</v>
      </c>
      <c r="BA15" s="149">
        <v>8742.35</v>
      </c>
      <c r="BB15" s="149">
        <v>10673.443442</v>
      </c>
      <c r="BC15" s="149">
        <v>13253.5755574</v>
      </c>
      <c r="BD15" s="149">
        <v>15782.006010999999</v>
      </c>
      <c r="BE15" s="149">
        <v>17305.8736445</v>
      </c>
      <c r="BF15" s="158">
        <v>19053.394262999998</v>
      </c>
      <c r="BG15" s="4"/>
      <c r="BH15" s="154">
        <v>12450.949999999997</v>
      </c>
      <c r="BI15" s="138">
        <v>12536.75845914871</v>
      </c>
      <c r="BJ15" s="138">
        <v>20000.69990163625</v>
      </c>
      <c r="BK15" s="138">
        <v>27453.84969699334</v>
      </c>
      <c r="BL15" s="138">
        <v>33764.423599182555</v>
      </c>
      <c r="BM15" s="138">
        <v>39974.694431609125</v>
      </c>
      <c r="BN15" s="157">
        <v>46334.846189467396</v>
      </c>
      <c r="BO15" s="4"/>
      <c r="BP15" s="154">
        <v>2148.2000000000007</v>
      </c>
      <c r="BQ15" s="138">
        <v>1240.2000000000007</v>
      </c>
      <c r="BR15" s="138">
        <v>4664.0262499999972</v>
      </c>
      <c r="BS15" s="138">
        <v>13507.343362000005</v>
      </c>
      <c r="BT15" s="138">
        <v>24578.257310000001</v>
      </c>
      <c r="BU15" s="138">
        <v>34796.461178720005</v>
      </c>
      <c r="BV15" s="153">
        <v>42990.127258733221</v>
      </c>
      <c r="BW15" s="4"/>
      <c r="BX15" s="154">
        <v>3339.75</v>
      </c>
      <c r="BY15" s="138">
        <v>2946.3508855333284</v>
      </c>
      <c r="BZ15" s="138">
        <v>5721.2682266222173</v>
      </c>
      <c r="CA15" s="138">
        <v>9039.1931520561066</v>
      </c>
      <c r="CB15" s="138">
        <v>12981.223728780662</v>
      </c>
      <c r="CC15" s="138">
        <v>17639.032895798544</v>
      </c>
      <c r="CD15" s="153">
        <v>22116.189803213761</v>
      </c>
    </row>
    <row r="16" spans="1:82" x14ac:dyDescent="0.2">
      <c r="A16" s="214"/>
      <c r="B16" s="210"/>
      <c r="C16" s="210"/>
      <c r="D16" s="210"/>
      <c r="E16" s="210"/>
      <c r="F16" s="210"/>
      <c r="G16" s="210"/>
      <c r="H16" s="210"/>
      <c r="W16" s="210"/>
      <c r="AZ16" s="24"/>
      <c r="BA16" s="24"/>
      <c r="BB16" s="24"/>
      <c r="BC16" s="24"/>
      <c r="BD16" s="24"/>
      <c r="BE16" s="24"/>
      <c r="BF16" s="24"/>
      <c r="BG16" s="4"/>
      <c r="BH16" s="24"/>
      <c r="BI16" s="24"/>
      <c r="BJ16" s="24"/>
      <c r="BK16" s="24"/>
      <c r="BL16" s="24"/>
      <c r="BM16" s="24"/>
      <c r="BN16" s="24"/>
      <c r="BO16" s="4"/>
      <c r="BP16" s="24"/>
      <c r="BQ16" s="24"/>
      <c r="BR16" s="24"/>
      <c r="BS16" s="24"/>
      <c r="BT16" s="24"/>
      <c r="BU16" s="24"/>
      <c r="BV16" s="24"/>
      <c r="BW16" s="4"/>
      <c r="BX16" s="24"/>
      <c r="BY16" s="24"/>
      <c r="BZ16" s="24"/>
      <c r="CA16" s="24"/>
      <c r="CB16" s="24"/>
      <c r="CC16" s="24"/>
      <c r="CD16" s="24"/>
    </row>
    <row r="17" spans="1:82" ht="17" thickBot="1" x14ac:dyDescent="0.25">
      <c r="A17" s="209" t="s">
        <v>115</v>
      </c>
      <c r="B17" s="210">
        <f>B18+B26</f>
        <v>133757.875</v>
      </c>
      <c r="C17" s="210"/>
      <c r="D17" s="210"/>
      <c r="E17" s="210"/>
      <c r="F17" s="210"/>
      <c r="G17" s="210"/>
      <c r="H17" s="210"/>
      <c r="I17" s="210">
        <f>I18+I26</f>
        <v>131344.51822053333</v>
      </c>
      <c r="P17" s="210">
        <f>P18+P26</f>
        <v>140159.10749053321</v>
      </c>
      <c r="W17" s="210">
        <f>W18+W26</f>
        <v>154951.4480505333</v>
      </c>
      <c r="AD17" s="210">
        <f>AD18+AD26</f>
        <v>170707.99858053331</v>
      </c>
      <c r="AK17" s="210">
        <f>AK18+AK26</f>
        <v>184451.18262053333</v>
      </c>
      <c r="AR17" s="210">
        <f>AR18+AR26</f>
        <v>196203.68884053317</v>
      </c>
      <c r="AZ17" s="67">
        <f t="shared" ref="AZ17:BF17" si="25">AZ18+AZ26</f>
        <v>66691.800000000017</v>
      </c>
      <c r="BA17" s="67">
        <f t="shared" si="25"/>
        <v>64982.349999999991</v>
      </c>
      <c r="BB17" s="67">
        <f t="shared" si="25"/>
        <v>65053.023439999874</v>
      </c>
      <c r="BC17" s="67">
        <f t="shared" si="25"/>
        <v>66315.460160000017</v>
      </c>
      <c r="BD17" s="67">
        <f t="shared" si="25"/>
        <v>67465.883669999981</v>
      </c>
      <c r="BE17" s="67">
        <f t="shared" si="25"/>
        <v>67548.250059999991</v>
      </c>
      <c r="BF17" s="53">
        <f t="shared" si="25"/>
        <v>67787.438219999953</v>
      </c>
      <c r="BG17" s="4"/>
      <c r="BH17" s="67">
        <v>53576.94999999999</v>
      </c>
      <c r="BI17" s="67">
        <v>53768.641010000014</v>
      </c>
      <c r="BJ17" s="67">
        <v>58666.123780000031</v>
      </c>
      <c r="BK17" s="67">
        <v>63408.909759999937</v>
      </c>
      <c r="BL17" s="67">
        <v>66857.265840000007</v>
      </c>
      <c r="BM17" s="67">
        <v>70045.078339999993</v>
      </c>
      <c r="BN17" s="53">
        <v>73213.683089999933</v>
      </c>
      <c r="BO17" s="4"/>
      <c r="BP17" s="67">
        <v>16911.200000000004</v>
      </c>
      <c r="BQ17" s="67">
        <v>16086.200000000004</v>
      </c>
      <c r="BR17" s="67">
        <v>18844.346249999981</v>
      </c>
      <c r="BS17" s="67">
        <v>26982.042560000009</v>
      </c>
      <c r="BT17" s="67">
        <v>37304.998460000003</v>
      </c>
      <c r="BU17" s="67">
        <v>46730.366800000003</v>
      </c>
      <c r="BV17" s="53">
        <v>54083.627209999984</v>
      </c>
      <c r="BW17" s="4"/>
      <c r="BX17" s="67">
        <v>4995.75</v>
      </c>
      <c r="BY17" s="67">
        <v>4633.1731</v>
      </c>
      <c r="BZ17" s="67">
        <v>7260.7958000000017</v>
      </c>
      <c r="CA17" s="67">
        <v>10425.53429999999</v>
      </c>
      <c r="CB17" s="67">
        <v>14208.251099999999</v>
      </c>
      <c r="CC17" s="67">
        <v>18700.373800000001</v>
      </c>
      <c r="CD17" s="53">
        <v>23005.216799999987</v>
      </c>
    </row>
    <row r="18" spans="1:82" x14ac:dyDescent="0.2">
      <c r="A18" s="211" t="s">
        <v>116</v>
      </c>
      <c r="B18" s="210">
        <f>B19</f>
        <v>103497.875</v>
      </c>
      <c r="C18" s="210"/>
      <c r="D18" s="210"/>
      <c r="E18" s="210"/>
      <c r="F18" s="210"/>
      <c r="G18" s="210"/>
      <c r="H18" s="210"/>
      <c r="I18" s="210">
        <f>I19</f>
        <v>104042.76826191264</v>
      </c>
      <c r="P18" s="210">
        <f>P19</f>
        <v>112681.51270432632</v>
      </c>
      <c r="W18" s="210">
        <f>W19</f>
        <v>124839.27395398157</v>
      </c>
      <c r="AD18" s="210">
        <f>AD19</f>
        <v>137187.80724260228</v>
      </c>
      <c r="AK18" s="210">
        <f>AK19</f>
        <v>147458.90231708504</v>
      </c>
      <c r="AR18" s="210">
        <f>AR19</f>
        <v>156142.11067501592</v>
      </c>
      <c r="AZ18" s="48">
        <f t="shared" ref="AZ18:BF18" si="26">AZ19</f>
        <v>57401.80000000001</v>
      </c>
      <c r="BA18" s="48">
        <f t="shared" si="26"/>
        <v>57951.349999999991</v>
      </c>
      <c r="BB18" s="48">
        <f t="shared" si="26"/>
        <v>59176.023439999874</v>
      </c>
      <c r="BC18" s="48">
        <f t="shared" si="26"/>
        <v>60438.460160000024</v>
      </c>
      <c r="BD18" s="48">
        <f t="shared" si="26"/>
        <v>61588.883669999981</v>
      </c>
      <c r="BE18" s="48">
        <f t="shared" si="26"/>
        <v>61671.250059999991</v>
      </c>
      <c r="BF18" s="54">
        <f t="shared" si="26"/>
        <v>61910.438219999953</v>
      </c>
      <c r="BG18" s="4"/>
      <c r="BH18" s="48">
        <v>37356.94999999999</v>
      </c>
      <c r="BI18" s="48">
        <v>37542.891051379323</v>
      </c>
      <c r="BJ18" s="48">
        <v>41710.02899379313</v>
      </c>
      <c r="BK18" s="48">
        <v>45649.43566344821</v>
      </c>
      <c r="BL18" s="48">
        <v>48214.074502068965</v>
      </c>
      <c r="BM18" s="48">
        <v>50429.798036551714</v>
      </c>
      <c r="BN18" s="54">
        <v>52529.104924482686</v>
      </c>
      <c r="BO18" s="4"/>
      <c r="BP18" s="48">
        <v>11561.200000000004</v>
      </c>
      <c r="BQ18" s="48">
        <v>11441.200000000004</v>
      </c>
      <c r="BR18" s="48">
        <v>14199.846249999982</v>
      </c>
      <c r="BS18" s="48">
        <v>20506.342560000008</v>
      </c>
      <c r="BT18" s="48">
        <v>28304.998460000003</v>
      </c>
      <c r="BU18" s="48">
        <v>35230.366800000003</v>
      </c>
      <c r="BV18" s="54">
        <v>40583.627209999984</v>
      </c>
      <c r="BW18" s="4"/>
      <c r="BX18" s="48">
        <v>3495.75</v>
      </c>
      <c r="BY18" s="48">
        <v>3293.3577666666697</v>
      </c>
      <c r="BZ18" s="48">
        <v>4920.9804666666714</v>
      </c>
      <c r="CA18" s="48">
        <v>7085.71896666666</v>
      </c>
      <c r="CB18" s="48">
        <v>9868.4357666666692</v>
      </c>
      <c r="CC18" s="48">
        <v>13360.558466666669</v>
      </c>
      <c r="CD18" s="54">
        <v>16665.401466666655</v>
      </c>
    </row>
    <row r="19" spans="1:82" x14ac:dyDescent="0.2">
      <c r="A19" s="212" t="s">
        <v>117</v>
      </c>
      <c r="B19" s="210">
        <f>SUM(B20:B25)</f>
        <v>103497.875</v>
      </c>
      <c r="C19" s="210"/>
      <c r="D19" s="210"/>
      <c r="E19" s="210"/>
      <c r="F19" s="210"/>
      <c r="G19" s="210"/>
      <c r="H19" s="210"/>
      <c r="I19" s="210">
        <f>SUM(I20:I25)</f>
        <v>104042.76826191264</v>
      </c>
      <c r="P19" s="210">
        <f>SUM(P20:P25)</f>
        <v>112681.51270432632</v>
      </c>
      <c r="W19" s="210">
        <f>SUM(W20:W25)</f>
        <v>124839.27395398157</v>
      </c>
      <c r="Z19" s="221"/>
      <c r="AD19" s="210">
        <f>SUM(AD20:AD25)</f>
        <v>137187.80724260228</v>
      </c>
      <c r="AK19" s="210">
        <f>SUM(AK20:AK25)</f>
        <v>147458.90231708504</v>
      </c>
      <c r="AR19" s="210">
        <f>SUM(AR20:AR25)</f>
        <v>156142.11067501592</v>
      </c>
      <c r="AZ19" s="48">
        <f>SUM(AZ20:AZ22)</f>
        <v>57401.80000000001</v>
      </c>
      <c r="BA19" s="48">
        <f t="shared" ref="BA19:BF19" si="27">SUM(BA20:BA22)</f>
        <v>57951.349999999991</v>
      </c>
      <c r="BB19" s="48">
        <f t="shared" si="27"/>
        <v>59176.023439999874</v>
      </c>
      <c r="BC19" s="48">
        <f t="shared" si="27"/>
        <v>60438.460160000024</v>
      </c>
      <c r="BD19" s="48">
        <f t="shared" si="27"/>
        <v>61588.883669999981</v>
      </c>
      <c r="BE19" s="48">
        <f t="shared" si="27"/>
        <v>61671.250059999991</v>
      </c>
      <c r="BF19" s="54">
        <f t="shared" si="27"/>
        <v>61910.438219999953</v>
      </c>
      <c r="BG19" s="4"/>
      <c r="BH19" s="48">
        <v>37356.94999999999</v>
      </c>
      <c r="BI19" s="48">
        <v>37542.891051379323</v>
      </c>
      <c r="BJ19" s="48">
        <v>41710.02899379313</v>
      </c>
      <c r="BK19" s="48">
        <v>45649.43566344821</v>
      </c>
      <c r="BL19" s="48">
        <v>48214.074502068965</v>
      </c>
      <c r="BM19" s="48">
        <v>50429.798036551714</v>
      </c>
      <c r="BN19" s="54">
        <v>52529.104924482686</v>
      </c>
      <c r="BO19" s="4"/>
      <c r="BP19" s="48">
        <v>11561.200000000004</v>
      </c>
      <c r="BQ19" s="48">
        <v>11441.200000000004</v>
      </c>
      <c r="BR19" s="48">
        <v>14199.846249999982</v>
      </c>
      <c r="BS19" s="48">
        <v>20506.342560000008</v>
      </c>
      <c r="BT19" s="48">
        <v>28304.998460000003</v>
      </c>
      <c r="BU19" s="48">
        <v>35230.366800000003</v>
      </c>
      <c r="BV19" s="54">
        <v>40583.627209999984</v>
      </c>
      <c r="BW19" s="4"/>
      <c r="BX19" s="48">
        <v>3495.75</v>
      </c>
      <c r="BY19" s="48">
        <v>3293.3577666666697</v>
      </c>
      <c r="BZ19" s="48">
        <v>4920.9804666666714</v>
      </c>
      <c r="CA19" s="48">
        <v>7085.71896666666</v>
      </c>
      <c r="CB19" s="48">
        <v>9868.4357666666692</v>
      </c>
      <c r="CC19" s="48">
        <v>13360.558466666669</v>
      </c>
      <c r="CD19" s="54">
        <v>16665.401466666655</v>
      </c>
    </row>
    <row r="20" spans="1:82" x14ac:dyDescent="0.2">
      <c r="A20" s="213" t="s">
        <v>118</v>
      </c>
      <c r="B20" s="221">
        <f>(AZ20+BH20+BP20)+E20</f>
        <v>30001</v>
      </c>
      <c r="C20" s="210"/>
      <c r="D20" s="210"/>
      <c r="E20" s="221">
        <f>-(B46+B50)</f>
        <v>-27031</v>
      </c>
      <c r="F20" s="210"/>
      <c r="G20" s="210"/>
      <c r="H20" s="210"/>
      <c r="I20" s="221">
        <f>BA20+BI20+BQ20+L20</f>
        <v>30000.999999999996</v>
      </c>
      <c r="L20" s="221">
        <f>-(C46+C50)</f>
        <v>-27031.344827586207</v>
      </c>
      <c r="P20" s="221">
        <f>BB20+BJ20+BR20+S20</f>
        <v>30000.999999999996</v>
      </c>
      <c r="S20" s="221">
        <f>-(D46+D50)</f>
        <v>-27031.344827586207</v>
      </c>
      <c r="W20" s="221">
        <f>BC20+BK20+BS20+Z20</f>
        <v>30000.999999999996</v>
      </c>
      <c r="Z20" s="221">
        <f>-(E46+E50)</f>
        <v>-27031.344827586207</v>
      </c>
      <c r="AD20" s="221">
        <f>BD20+BL20+BT20+AG20</f>
        <v>30000.999999999996</v>
      </c>
      <c r="AG20" s="221">
        <f>-(F46+F50)</f>
        <v>-27031.344827586207</v>
      </c>
      <c r="AK20" s="221">
        <f>BE20+BM20+BU20+AN20</f>
        <v>30000.999999999996</v>
      </c>
      <c r="AN20" s="221">
        <f>-(G46+G50)</f>
        <v>-27031.344827586207</v>
      </c>
      <c r="AR20" s="221">
        <f>BF20+BN20+BV20+AU20</f>
        <v>30000.999999999996</v>
      </c>
      <c r="AU20" s="221">
        <f>-(H46+H50)</f>
        <v>-27031.344827586207</v>
      </c>
      <c r="AZ20" s="92">
        <v>30001</v>
      </c>
      <c r="BA20" s="92">
        <v>30001</v>
      </c>
      <c r="BB20" s="93">
        <v>30001</v>
      </c>
      <c r="BC20" s="93">
        <v>30001</v>
      </c>
      <c r="BD20" s="93">
        <v>30001</v>
      </c>
      <c r="BE20" s="93">
        <v>30001</v>
      </c>
      <c r="BF20" s="73">
        <v>30001</v>
      </c>
      <c r="BG20" s="4"/>
      <c r="BH20" s="92">
        <v>20030</v>
      </c>
      <c r="BI20" s="92">
        <v>20030.344827586207</v>
      </c>
      <c r="BJ20" s="93">
        <v>20030.344827586207</v>
      </c>
      <c r="BK20" s="93">
        <v>20030.344827586207</v>
      </c>
      <c r="BL20" s="93">
        <v>20030.344827586207</v>
      </c>
      <c r="BM20" s="93">
        <v>20030.344827586207</v>
      </c>
      <c r="BN20" s="73">
        <v>20030.344827586207</v>
      </c>
      <c r="BO20" s="4"/>
      <c r="BP20" s="92">
        <v>7001</v>
      </c>
      <c r="BQ20" s="92">
        <v>7001</v>
      </c>
      <c r="BR20" s="93">
        <v>7001</v>
      </c>
      <c r="BS20" s="93">
        <v>7001</v>
      </c>
      <c r="BT20" s="93">
        <v>7001</v>
      </c>
      <c r="BU20" s="93">
        <v>7001</v>
      </c>
      <c r="BV20" s="73">
        <v>7001</v>
      </c>
      <c r="BW20" s="4"/>
      <c r="BX20" s="92">
        <v>6</v>
      </c>
      <c r="BY20" s="92">
        <v>5.5555555555555554</v>
      </c>
      <c r="BZ20" s="93">
        <v>5.5555555555555554</v>
      </c>
      <c r="CA20" s="93">
        <v>5.5555555555555554</v>
      </c>
      <c r="CB20" s="93">
        <v>5.5555555555555554</v>
      </c>
      <c r="CC20" s="93">
        <v>5.5555555555555554</v>
      </c>
      <c r="CD20" s="73">
        <v>5.5555555555555554</v>
      </c>
    </row>
    <row r="21" spans="1:82" x14ac:dyDescent="0.2">
      <c r="A21" s="213" t="s">
        <v>119</v>
      </c>
      <c r="B21" s="221">
        <f t="shared" ref="B21" si="28">(AZ21+BH21+BP21)</f>
        <v>24730</v>
      </c>
      <c r="C21" s="210"/>
      <c r="D21" s="210"/>
      <c r="E21" s="210"/>
      <c r="F21" s="210"/>
      <c r="G21" s="210"/>
      <c r="H21" s="210"/>
      <c r="I21" s="221">
        <f>BA21+BI21+BQ21+L21</f>
        <v>24727.482758620688</v>
      </c>
      <c r="P21" s="221">
        <f t="shared" ref="P21" si="29">BB21+BJ21+BR21</f>
        <v>24727.482758620688</v>
      </c>
      <c r="W21" s="221">
        <f t="shared" ref="W21" si="30">BC21+BK21+BS21</f>
        <v>24727.482758620688</v>
      </c>
      <c r="AD21" s="221">
        <f t="shared" ref="AD21:AD32" si="31">BD21+BL21+BT21</f>
        <v>24727.482758620688</v>
      </c>
      <c r="AK21" s="221">
        <f t="shared" ref="AK21:AK32" si="32">BE21+BM21+BU21</f>
        <v>24727.482758620688</v>
      </c>
      <c r="AR21" s="221">
        <f t="shared" ref="AR21:AR32" si="33">BF21+BN21+BV21</f>
        <v>24727.482758620688</v>
      </c>
      <c r="AZ21" s="49">
        <v>19960</v>
      </c>
      <c r="BA21" s="49">
        <v>19953</v>
      </c>
      <c r="BB21" s="63">
        <v>19953</v>
      </c>
      <c r="BC21" s="63">
        <v>19953</v>
      </c>
      <c r="BD21" s="63">
        <v>19953</v>
      </c>
      <c r="BE21" s="63">
        <v>19953</v>
      </c>
      <c r="BF21" s="8">
        <v>19953</v>
      </c>
      <c r="BG21" s="4"/>
      <c r="BH21" s="49">
        <v>1270</v>
      </c>
      <c r="BI21" s="49">
        <v>1274.4827586206898</v>
      </c>
      <c r="BJ21" s="63">
        <v>1274.4827586206898</v>
      </c>
      <c r="BK21" s="63">
        <v>1274.4827586206898</v>
      </c>
      <c r="BL21" s="63">
        <v>1274.4827586206898</v>
      </c>
      <c r="BM21" s="63">
        <v>1274.4827586206898</v>
      </c>
      <c r="BN21" s="8">
        <v>1274.4827586206898</v>
      </c>
      <c r="BO21" s="4"/>
      <c r="BP21" s="49">
        <v>3500</v>
      </c>
      <c r="BQ21" s="49">
        <v>3500</v>
      </c>
      <c r="BR21" s="63">
        <v>3500</v>
      </c>
      <c r="BS21" s="63">
        <v>3500</v>
      </c>
      <c r="BT21" s="63">
        <v>3500</v>
      </c>
      <c r="BU21" s="63">
        <v>3500</v>
      </c>
      <c r="BV21" s="8">
        <v>3500</v>
      </c>
      <c r="BW21" s="4"/>
      <c r="BX21" s="49">
        <v>1200</v>
      </c>
      <c r="BY21" s="49">
        <v>1233.3333333333301</v>
      </c>
      <c r="BZ21" s="63">
        <v>1233.3333333333301</v>
      </c>
      <c r="CA21" s="63">
        <v>1233.3333333333301</v>
      </c>
      <c r="CB21" s="63">
        <v>1233.3333333333301</v>
      </c>
      <c r="CC21" s="63">
        <v>1233.3333333333301</v>
      </c>
      <c r="CD21" s="8">
        <v>1233.3333333333301</v>
      </c>
    </row>
    <row r="22" spans="1:82" x14ac:dyDescent="0.2">
      <c r="A22" s="213" t="s">
        <v>120</v>
      </c>
      <c r="B22" s="221">
        <f>D22</f>
        <v>41933.699999999997</v>
      </c>
      <c r="C22" s="210"/>
      <c r="D22" s="221">
        <f>B93+(-B68)+(-B63)</f>
        <v>41933.699999999997</v>
      </c>
      <c r="E22" s="210"/>
      <c r="F22" s="210"/>
      <c r="G22" s="210"/>
      <c r="H22" s="210"/>
      <c r="I22" s="221">
        <f>K22</f>
        <v>42510.964674016097</v>
      </c>
      <c r="K22" s="279">
        <f>C93+-C63+-C68</f>
        <v>42510.964674016097</v>
      </c>
      <c r="P22" s="221">
        <f>R22</f>
        <v>49629.536822188398</v>
      </c>
      <c r="R22" s="221">
        <f>D93+(-D63)+(-D68)</f>
        <v>49629.536822188398</v>
      </c>
      <c r="W22" s="221">
        <f>Y22</f>
        <v>58870.758880878129</v>
      </c>
      <c r="Y22" s="273">
        <f>E93+(-E63)+(-E68)</f>
        <v>58870.758880878129</v>
      </c>
      <c r="AD22" s="221">
        <f>AF22</f>
        <v>67843.365925636768</v>
      </c>
      <c r="AF22" s="221">
        <f>F93+(-F63)+(-F68)</f>
        <v>67843.365925636768</v>
      </c>
      <c r="AK22" s="221">
        <f>AM22</f>
        <v>75122.741310671248</v>
      </c>
      <c r="AM22" s="221">
        <f>G93+(-G63)+(-G68)</f>
        <v>75122.741310671248</v>
      </c>
      <c r="AR22" s="221">
        <f>AT22</f>
        <v>81454.714815809071</v>
      </c>
      <c r="AT22" s="221">
        <f>H93+(-H63)+(-H68)</f>
        <v>81454.714815809071</v>
      </c>
      <c r="AZ22" s="134">
        <f t="shared" ref="AZ22:BF22" si="34">SUM(AZ23:AZ24)</f>
        <v>7440.8000000000075</v>
      </c>
      <c r="BA22" s="134">
        <f t="shared" si="34"/>
        <v>7997.3499999999885</v>
      </c>
      <c r="BB22" s="134">
        <f t="shared" si="34"/>
        <v>9222.0234399998772</v>
      </c>
      <c r="BC22" s="134">
        <f t="shared" si="34"/>
        <v>10484.460160000022</v>
      </c>
      <c r="BD22" s="134">
        <f t="shared" si="34"/>
        <v>11634.883669999979</v>
      </c>
      <c r="BE22" s="134">
        <f t="shared" si="34"/>
        <v>11717.250059999989</v>
      </c>
      <c r="BF22" s="144">
        <f t="shared" si="34"/>
        <v>11956.438219999953</v>
      </c>
      <c r="BG22" s="4"/>
      <c r="BH22" s="141">
        <v>16056.949999999992</v>
      </c>
      <c r="BI22" s="134">
        <v>16238.063465172432</v>
      </c>
      <c r="BJ22" s="134">
        <v>20405.201407586235</v>
      </c>
      <c r="BK22" s="134">
        <v>24344.608077241319</v>
      </c>
      <c r="BL22" s="134">
        <v>26909.246915862073</v>
      </c>
      <c r="BM22" s="134">
        <v>29124.970450344816</v>
      </c>
      <c r="BN22" s="144">
        <v>31224.277338275791</v>
      </c>
      <c r="BO22" s="4"/>
      <c r="BP22" s="141">
        <v>1060.2000000000041</v>
      </c>
      <c r="BQ22" s="134">
        <v>940.20000000000368</v>
      </c>
      <c r="BR22" s="134">
        <v>3698.8462499999828</v>
      </c>
      <c r="BS22" s="134">
        <v>10005.342560000008</v>
      </c>
      <c r="BT22" s="134">
        <v>17803.998460000003</v>
      </c>
      <c r="BU22" s="134">
        <v>24729.3668</v>
      </c>
      <c r="BV22" s="144">
        <v>30082.627209999984</v>
      </c>
      <c r="BW22" s="4"/>
      <c r="BX22" s="141">
        <v>2289.75</v>
      </c>
      <c r="BY22" s="134">
        <v>2054.4688777777842</v>
      </c>
      <c r="BZ22" s="134">
        <v>3682.0915777777859</v>
      </c>
      <c r="CA22" s="134">
        <v>5846.830077777774</v>
      </c>
      <c r="CB22" s="134">
        <v>8629.5468777777842</v>
      </c>
      <c r="CC22" s="134">
        <v>12121.669577777784</v>
      </c>
      <c r="CD22" s="144">
        <v>15426.51257777777</v>
      </c>
    </row>
    <row r="23" spans="1:82" x14ac:dyDescent="0.2">
      <c r="A23" s="213" t="s">
        <v>121</v>
      </c>
      <c r="B23" s="221">
        <f>(AZ23+BH23+BP23)+D23</f>
        <v>0</v>
      </c>
      <c r="C23" s="210"/>
      <c r="D23" s="221">
        <f>-(B43+B47+B51)</f>
        <v>-1491</v>
      </c>
      <c r="E23" s="210"/>
      <c r="F23" s="210"/>
      <c r="G23" s="210"/>
      <c r="H23" s="210"/>
      <c r="I23" s="221">
        <f>BA23+BI23+BQ23+K23</f>
        <v>0</v>
      </c>
      <c r="K23" s="221">
        <f>-C43+-C47+-C51</f>
        <v>-1491.3254657308257</v>
      </c>
      <c r="P23" s="221">
        <f>BB23+BJ23+BR23+R23</f>
        <v>0</v>
      </c>
      <c r="R23" s="221">
        <f>-(D43+D47+D51)</f>
        <v>-1491.3254657308257</v>
      </c>
      <c r="W23" s="221">
        <f>BC23+BK23+BS23+Y23</f>
        <v>0</v>
      </c>
      <c r="Y23" s="221">
        <f>-(E43+E47+E51)</f>
        <v>-1491.3254657308257</v>
      </c>
      <c r="AD23" s="221">
        <f>BD23+BL23+BT23+AF23</f>
        <v>0</v>
      </c>
      <c r="AF23" s="221">
        <f>-(E43+E47+E51)</f>
        <v>-1491.3254657308257</v>
      </c>
      <c r="AG23" s="221"/>
      <c r="AK23" s="221">
        <f>BE23+BM23+BU23+AM23</f>
        <v>0</v>
      </c>
      <c r="AM23" s="221">
        <f>-(G43+G47+G51)</f>
        <v>-1491.3254657308257</v>
      </c>
      <c r="AR23" s="221">
        <f>BF23+BN23+BV23+AT23</f>
        <v>0</v>
      </c>
      <c r="AT23" s="221">
        <f>-(H43+H47+H51)</f>
        <v>-1491.3254657308257</v>
      </c>
      <c r="AZ23" s="90">
        <v>917</v>
      </c>
      <c r="BA23" s="90">
        <v>917.16800000000001</v>
      </c>
      <c r="BB23" s="90">
        <v>917.16800000000001</v>
      </c>
      <c r="BC23" s="90">
        <v>917.16800000000001</v>
      </c>
      <c r="BD23" s="90">
        <v>917.16800000000001</v>
      </c>
      <c r="BE23" s="90">
        <v>917.16800000000001</v>
      </c>
      <c r="BF23" s="94">
        <v>917.16800000000001</v>
      </c>
      <c r="BG23" s="4"/>
      <c r="BH23" s="84">
        <v>562</v>
      </c>
      <c r="BI23" s="84">
        <v>562.15746573082561</v>
      </c>
      <c r="BJ23" s="90">
        <v>562.15746573082561</v>
      </c>
      <c r="BK23" s="90">
        <v>562.15746573082561</v>
      </c>
      <c r="BL23" s="90">
        <v>562.15746573082561</v>
      </c>
      <c r="BM23" s="90">
        <v>562.15746573082561</v>
      </c>
      <c r="BN23" s="94">
        <v>562.15746573082561</v>
      </c>
      <c r="BO23" s="4"/>
      <c r="BP23" s="84">
        <v>12</v>
      </c>
      <c r="BQ23" s="84">
        <v>12</v>
      </c>
      <c r="BR23" s="90">
        <v>12</v>
      </c>
      <c r="BS23" s="90">
        <v>12</v>
      </c>
      <c r="BT23" s="90">
        <v>12</v>
      </c>
      <c r="BU23" s="90">
        <v>12</v>
      </c>
      <c r="BV23" s="94">
        <v>12</v>
      </c>
      <c r="BW23" s="4"/>
      <c r="BX23" s="84">
        <v>30</v>
      </c>
      <c r="BY23" s="84">
        <v>30.044842666666561</v>
      </c>
      <c r="BZ23" s="90">
        <v>30.044842666666561</v>
      </c>
      <c r="CA23" s="90">
        <v>30.044842666666561</v>
      </c>
      <c r="CB23" s="90">
        <v>30.044842666666561</v>
      </c>
      <c r="CC23" s="90">
        <v>30.044842666666561</v>
      </c>
      <c r="CD23" s="94">
        <v>30.044842666666561</v>
      </c>
    </row>
    <row r="24" spans="1:82" x14ac:dyDescent="0.2">
      <c r="A24" s="217" t="s">
        <v>122</v>
      </c>
      <c r="B24" s="221">
        <f>AZ24+BH24+BP24+D24</f>
        <v>0</v>
      </c>
      <c r="C24" s="210"/>
      <c r="D24" s="221">
        <f>-(AZ24+BH24+BP24)</f>
        <v>-23066.950000000004</v>
      </c>
      <c r="E24" s="210"/>
      <c r="F24" s="210"/>
      <c r="G24" s="210"/>
      <c r="H24" s="210"/>
      <c r="I24" s="221">
        <f>BA24+BI24+BQ24+K24</f>
        <v>0</v>
      </c>
      <c r="K24" s="221">
        <f>-(BA24+BI24+BQ24)</f>
        <v>-23684.2879994416</v>
      </c>
      <c r="P24" s="221">
        <f>BB24+BJ24+BR24+R24</f>
        <v>0</v>
      </c>
      <c r="R24" s="221">
        <f>-(BB24+BJ24+BR24)</f>
        <v>-31834.745631855269</v>
      </c>
      <c r="W24" s="221">
        <f>BC24+BK24+BS24+Y24</f>
        <v>0</v>
      </c>
      <c r="Y24" s="221">
        <f>-(BC24+BK24+BS24)</f>
        <v>-43343.08533151052</v>
      </c>
      <c r="AD24" s="221">
        <f>BD24+BL24+BT24+AF24</f>
        <v>0</v>
      </c>
      <c r="AF24" s="221">
        <f>-(BD24+BL24+BT24)</f>
        <v>-54856.803580131229</v>
      </c>
      <c r="AG24" s="221"/>
      <c r="AK24" s="221">
        <f>BE24+BM24+BU24+AM24</f>
        <v>0</v>
      </c>
      <c r="AM24" s="221">
        <f>-(BE24+BM24+BU24)</f>
        <v>-64080.261844613982</v>
      </c>
      <c r="AR24" s="221">
        <f>BF24+BN24+BV24+AT24</f>
        <v>0</v>
      </c>
      <c r="AT24" s="221">
        <f>-(BF24+BN24+BV24)</f>
        <v>-71772.017302544904</v>
      </c>
      <c r="AZ24" s="139">
        <v>6523.8000000000075</v>
      </c>
      <c r="BA24" s="139">
        <v>7080.1819999999889</v>
      </c>
      <c r="BB24" s="139">
        <v>8304.8554399998775</v>
      </c>
      <c r="BC24" s="139">
        <v>9567.2921600000227</v>
      </c>
      <c r="BD24" s="139">
        <v>10717.71566999998</v>
      </c>
      <c r="BE24" s="139">
        <v>10800.08205999999</v>
      </c>
      <c r="BF24" s="140">
        <v>11039.270219999953</v>
      </c>
      <c r="BG24" s="146"/>
      <c r="BH24" s="152">
        <v>15494.949999999992</v>
      </c>
      <c r="BI24" s="139">
        <v>15675.905999441606</v>
      </c>
      <c r="BJ24" s="139">
        <v>19843.043941855409</v>
      </c>
      <c r="BK24" s="139">
        <v>23782.450611510492</v>
      </c>
      <c r="BL24" s="139">
        <v>26347.089450131247</v>
      </c>
      <c r="BM24" s="139">
        <v>28562.812984613989</v>
      </c>
      <c r="BN24" s="140">
        <v>30662.119872544965</v>
      </c>
      <c r="BO24" s="146"/>
      <c r="BP24" s="152">
        <v>1048.2000000000041</v>
      </c>
      <c r="BQ24" s="140">
        <v>928.20000000000368</v>
      </c>
      <c r="BR24" s="140">
        <v>3686.8462499999828</v>
      </c>
      <c r="BS24" s="140">
        <v>9993.3425600000082</v>
      </c>
      <c r="BT24" s="140">
        <v>17791.998460000003</v>
      </c>
      <c r="BU24" s="140">
        <v>24717.3668</v>
      </c>
      <c r="BV24" s="140">
        <v>30070.627209999984</v>
      </c>
      <c r="BW24" s="146"/>
      <c r="BX24" s="152">
        <v>2259.75</v>
      </c>
      <c r="BY24" s="140">
        <v>2024.4240351111175</v>
      </c>
      <c r="BZ24" s="140">
        <v>3652.0467351111192</v>
      </c>
      <c r="CA24" s="140">
        <v>5816.7852351111078</v>
      </c>
      <c r="CB24" s="140">
        <v>8599.5020351111179</v>
      </c>
      <c r="CC24" s="140">
        <v>12091.624735111118</v>
      </c>
      <c r="CD24" s="140">
        <v>15396.467735111104</v>
      </c>
    </row>
    <row r="25" spans="1:82" x14ac:dyDescent="0.2">
      <c r="A25" s="272" t="s">
        <v>152</v>
      </c>
      <c r="B25" s="221">
        <f>C25</f>
        <v>6833.1750000000011</v>
      </c>
      <c r="C25" s="221">
        <f>B83</f>
        <v>6833.1750000000011</v>
      </c>
      <c r="D25" s="210"/>
      <c r="E25" s="210"/>
      <c r="F25" s="210"/>
      <c r="G25" s="210"/>
      <c r="H25" s="210"/>
      <c r="I25" s="234">
        <f>J25</f>
        <v>6803.3208292758663</v>
      </c>
      <c r="J25" s="234">
        <f>C83</f>
        <v>6803.3208292758663</v>
      </c>
      <c r="P25" s="234">
        <f>Q25</f>
        <v>8323.4931235172371</v>
      </c>
      <c r="Q25" s="234">
        <f>D83</f>
        <v>8323.4931235172371</v>
      </c>
      <c r="W25" s="221">
        <f>X25</f>
        <v>11240.032314482756</v>
      </c>
      <c r="X25" s="234">
        <f>E83</f>
        <v>11240.032314482756</v>
      </c>
      <c r="AD25" s="234">
        <f>AE25</f>
        <v>14615.958558344832</v>
      </c>
      <c r="AE25" s="234">
        <f>F83</f>
        <v>14615.958558344832</v>
      </c>
      <c r="AK25" s="234">
        <f>AL25</f>
        <v>17607.678247793105</v>
      </c>
      <c r="AL25" s="234">
        <f>G83</f>
        <v>17607.678247793105</v>
      </c>
      <c r="AR25" s="234">
        <f>AS25</f>
        <v>19958.913100586193</v>
      </c>
      <c r="AS25" s="234">
        <f>H83</f>
        <v>19958.913100586193</v>
      </c>
      <c r="AZ25" s="270"/>
      <c r="BA25" s="270"/>
      <c r="BB25" s="270"/>
      <c r="BC25" s="270"/>
      <c r="BD25" s="270"/>
      <c r="BE25" s="270"/>
      <c r="BF25" s="271"/>
      <c r="BG25" s="146"/>
      <c r="BH25" s="270"/>
      <c r="BI25" s="270"/>
      <c r="BJ25" s="270"/>
      <c r="BK25" s="270"/>
      <c r="BL25" s="270"/>
      <c r="BM25" s="270"/>
      <c r="BN25" s="271"/>
      <c r="BO25" s="146"/>
      <c r="BP25" s="270"/>
      <c r="BQ25" s="271"/>
      <c r="BR25" s="271"/>
      <c r="BS25" s="271"/>
      <c r="BT25" s="271"/>
      <c r="BU25" s="271"/>
      <c r="BV25" s="271"/>
      <c r="BW25" s="146"/>
      <c r="BX25" s="270"/>
      <c r="BY25" s="271"/>
      <c r="BZ25" s="271"/>
      <c r="CA25" s="271"/>
      <c r="CB25" s="271"/>
      <c r="CC25" s="271"/>
      <c r="CD25" s="271"/>
    </row>
    <row r="26" spans="1:82" x14ac:dyDescent="0.2">
      <c r="A26" s="211" t="s">
        <v>123</v>
      </c>
      <c r="B26" s="210">
        <f>B27+B30</f>
        <v>30260</v>
      </c>
      <c r="C26" s="210"/>
      <c r="D26" s="210"/>
      <c r="E26" s="210"/>
      <c r="F26" s="210"/>
      <c r="G26" s="210"/>
      <c r="H26" s="210"/>
      <c r="I26" s="210">
        <f>I27+I30</f>
        <v>27301.74995862069</v>
      </c>
      <c r="P26" s="210">
        <f t="shared" ref="P26:P28" si="35">BB26+BJ26+BR26</f>
        <v>27477.594786206901</v>
      </c>
      <c r="W26" s="210">
        <f t="shared" ref="W26:W32" si="36">BC26+BK26+BS26</f>
        <v>30112.174096551727</v>
      </c>
      <c r="AD26" s="210">
        <f t="shared" si="31"/>
        <v>33520.191337931035</v>
      </c>
      <c r="AK26" s="210">
        <f t="shared" si="32"/>
        <v>36992.280303448279</v>
      </c>
      <c r="AR26" s="210">
        <f t="shared" si="33"/>
        <v>40061.578165517247</v>
      </c>
      <c r="AZ26" s="48">
        <f t="shared" ref="AZ26:BF26" si="37">AZ27+AZ30</f>
        <v>9290</v>
      </c>
      <c r="BA26" s="48">
        <f t="shared" si="37"/>
        <v>7031</v>
      </c>
      <c r="BB26" s="48">
        <f t="shared" si="37"/>
        <v>5877</v>
      </c>
      <c r="BC26" s="48">
        <f t="shared" si="37"/>
        <v>5877</v>
      </c>
      <c r="BD26" s="48">
        <f t="shared" si="37"/>
        <v>5877</v>
      </c>
      <c r="BE26" s="48">
        <f t="shared" si="37"/>
        <v>5877</v>
      </c>
      <c r="BF26" s="54">
        <f t="shared" si="37"/>
        <v>5877</v>
      </c>
      <c r="BG26" s="4"/>
      <c r="BH26" s="48">
        <v>16220</v>
      </c>
      <c r="BI26" s="48">
        <v>16225.74995862069</v>
      </c>
      <c r="BJ26" s="48">
        <v>16956.094786206901</v>
      </c>
      <c r="BK26" s="48">
        <v>17759.474096551727</v>
      </c>
      <c r="BL26" s="48">
        <v>18643.191337931035</v>
      </c>
      <c r="BM26" s="48">
        <v>19615.280303448279</v>
      </c>
      <c r="BN26" s="54">
        <v>20684.578165517247</v>
      </c>
      <c r="BO26" s="4"/>
      <c r="BP26" s="48">
        <v>5350</v>
      </c>
      <c r="BQ26" s="48">
        <v>4645</v>
      </c>
      <c r="BR26" s="48">
        <v>4644.5</v>
      </c>
      <c r="BS26" s="48">
        <v>6475.7000000000007</v>
      </c>
      <c r="BT26" s="48">
        <v>9000</v>
      </c>
      <c r="BU26" s="48">
        <v>11500</v>
      </c>
      <c r="BV26" s="54">
        <v>13500</v>
      </c>
      <c r="BW26" s="4"/>
      <c r="BX26" s="48">
        <v>1500</v>
      </c>
      <c r="BY26" s="48">
        <v>1339.81533333333</v>
      </c>
      <c r="BZ26" s="48">
        <v>2339.8153333333303</v>
      </c>
      <c r="CA26" s="48">
        <v>3339.8153333333303</v>
      </c>
      <c r="CB26" s="48">
        <v>4339.8153333333303</v>
      </c>
      <c r="CC26" s="48">
        <v>5339.8153333333303</v>
      </c>
      <c r="CD26" s="54">
        <v>6339.8153333333303</v>
      </c>
    </row>
    <row r="27" spans="1:82" x14ac:dyDescent="0.2">
      <c r="A27" s="212" t="s">
        <v>124</v>
      </c>
      <c r="B27" s="210">
        <f>SUM(B28:B29)</f>
        <v>13290</v>
      </c>
      <c r="C27" s="210"/>
      <c r="D27" s="210"/>
      <c r="E27" s="210"/>
      <c r="F27" s="210"/>
      <c r="G27" s="210"/>
      <c r="H27" s="210"/>
      <c r="I27" s="210">
        <f>SUM(I28:I29)</f>
        <v>13290</v>
      </c>
      <c r="P27" s="210">
        <f t="shared" si="35"/>
        <v>12136</v>
      </c>
      <c r="W27" s="210">
        <f t="shared" si="36"/>
        <v>12136</v>
      </c>
      <c r="AD27" s="210">
        <f t="shared" si="31"/>
        <v>12136</v>
      </c>
      <c r="AK27" s="210">
        <f t="shared" si="32"/>
        <v>12136</v>
      </c>
      <c r="AR27" s="210">
        <f t="shared" si="33"/>
        <v>12136</v>
      </c>
      <c r="AZ27" s="48">
        <f>SUM(AZ28:AZ29)</f>
        <v>1290</v>
      </c>
      <c r="BA27" s="48">
        <f t="shared" ref="BA27:BF27" si="38">SUM(BA28:BA29)</f>
        <v>1290</v>
      </c>
      <c r="BB27" s="48">
        <f t="shared" si="38"/>
        <v>136</v>
      </c>
      <c r="BC27" s="48">
        <f t="shared" si="38"/>
        <v>136</v>
      </c>
      <c r="BD27" s="48">
        <f t="shared" si="38"/>
        <v>136</v>
      </c>
      <c r="BE27" s="48">
        <f t="shared" si="38"/>
        <v>136</v>
      </c>
      <c r="BF27" s="54">
        <f t="shared" si="38"/>
        <v>136</v>
      </c>
      <c r="BG27" s="4"/>
      <c r="BH27" s="48">
        <v>8500</v>
      </c>
      <c r="BI27" s="48">
        <v>8500</v>
      </c>
      <c r="BJ27" s="48">
        <v>8500</v>
      </c>
      <c r="BK27" s="48">
        <v>8500</v>
      </c>
      <c r="BL27" s="48">
        <v>8500</v>
      </c>
      <c r="BM27" s="48">
        <v>8500</v>
      </c>
      <c r="BN27" s="54">
        <v>8500</v>
      </c>
      <c r="BO27" s="4"/>
      <c r="BP27" s="48">
        <v>4100</v>
      </c>
      <c r="BQ27" s="48">
        <v>4100</v>
      </c>
      <c r="BR27" s="48">
        <v>3500</v>
      </c>
      <c r="BS27" s="48">
        <v>3500</v>
      </c>
      <c r="BT27" s="48">
        <v>3500</v>
      </c>
      <c r="BU27" s="48">
        <v>3500</v>
      </c>
      <c r="BV27" s="54">
        <v>3500</v>
      </c>
      <c r="BW27" s="4"/>
      <c r="BX27" s="48">
        <v>0</v>
      </c>
      <c r="BY27" s="48">
        <v>0</v>
      </c>
      <c r="BZ27" s="48">
        <v>0</v>
      </c>
      <c r="CA27" s="48">
        <v>0</v>
      </c>
      <c r="CB27" s="48">
        <v>0</v>
      </c>
      <c r="CC27" s="48">
        <v>0</v>
      </c>
      <c r="CD27" s="54">
        <v>0</v>
      </c>
    </row>
    <row r="28" spans="1:82" x14ac:dyDescent="0.2">
      <c r="A28" s="213" t="s">
        <v>125</v>
      </c>
      <c r="B28" s="221">
        <f>(AZ28+BH28+BP28)+G28</f>
        <v>1154</v>
      </c>
      <c r="C28" s="210"/>
      <c r="D28" s="210"/>
      <c r="E28" s="210"/>
      <c r="F28" s="210"/>
      <c r="G28" s="221">
        <f>-600</f>
        <v>-600</v>
      </c>
      <c r="H28" s="210"/>
      <c r="I28" s="221">
        <f>BA28+BI28+BQ28+N28</f>
        <v>1154</v>
      </c>
      <c r="N28" s="221">
        <f>G28</f>
        <v>-600</v>
      </c>
      <c r="P28" s="221">
        <f t="shared" si="35"/>
        <v>0</v>
      </c>
      <c r="U28" s="221"/>
      <c r="W28" s="221">
        <f t="shared" si="36"/>
        <v>0</v>
      </c>
      <c r="AD28" s="221">
        <f t="shared" si="31"/>
        <v>0</v>
      </c>
      <c r="AK28" s="221">
        <f t="shared" si="32"/>
        <v>0</v>
      </c>
      <c r="AR28" s="221">
        <f t="shared" si="33"/>
        <v>0</v>
      </c>
      <c r="AZ28" s="92">
        <v>1154</v>
      </c>
      <c r="BA28" s="92">
        <v>1154</v>
      </c>
      <c r="BB28" s="93">
        <v>0</v>
      </c>
      <c r="BC28" s="93">
        <v>0</v>
      </c>
      <c r="BD28" s="93">
        <v>0</v>
      </c>
      <c r="BE28" s="93">
        <v>0</v>
      </c>
      <c r="BF28" s="73">
        <v>0</v>
      </c>
      <c r="BG28" s="4"/>
      <c r="BH28" s="92">
        <v>0</v>
      </c>
      <c r="BI28" s="92">
        <v>0</v>
      </c>
      <c r="BJ28" s="93">
        <v>0</v>
      </c>
      <c r="BK28" s="93">
        <v>0</v>
      </c>
      <c r="BL28" s="93">
        <v>0</v>
      </c>
      <c r="BM28" s="93">
        <v>0</v>
      </c>
      <c r="BN28" s="73">
        <v>0</v>
      </c>
      <c r="BO28" s="4"/>
      <c r="BP28" s="92">
        <v>600</v>
      </c>
      <c r="BQ28" s="92">
        <v>600</v>
      </c>
      <c r="BR28" s="93">
        <v>0</v>
      </c>
      <c r="BS28" s="93">
        <v>0</v>
      </c>
      <c r="BT28" s="93">
        <v>0</v>
      </c>
      <c r="BU28" s="93">
        <v>0</v>
      </c>
      <c r="BV28" s="73">
        <v>0</v>
      </c>
      <c r="BW28" s="4"/>
      <c r="BX28" s="92">
        <v>0</v>
      </c>
      <c r="BY28" s="92">
        <v>0</v>
      </c>
      <c r="BZ28" s="93">
        <v>0</v>
      </c>
      <c r="CA28" s="93">
        <v>0</v>
      </c>
      <c r="CB28" s="93">
        <v>0</v>
      </c>
      <c r="CC28" s="93">
        <v>0</v>
      </c>
      <c r="CD28" s="73">
        <v>0</v>
      </c>
    </row>
    <row r="29" spans="1:82" x14ac:dyDescent="0.2">
      <c r="A29" s="213" t="s">
        <v>126</v>
      </c>
      <c r="B29" s="221">
        <f t="shared" ref="B29:B32" si="39">(AZ29+BH29+BP29)</f>
        <v>12136</v>
      </c>
      <c r="C29" s="210"/>
      <c r="D29" s="210"/>
      <c r="E29" s="210"/>
      <c r="F29" s="210"/>
      <c r="G29" s="210"/>
      <c r="H29" s="210"/>
      <c r="I29" s="221">
        <f t="shared" ref="I29:I32" si="40">BA29+BI29+BQ29</f>
        <v>12136</v>
      </c>
      <c r="P29" s="221">
        <f t="shared" ref="P29:P32" si="41">BB29+BJ29+BR29</f>
        <v>12136</v>
      </c>
      <c r="W29" s="221">
        <f t="shared" si="36"/>
        <v>12136</v>
      </c>
      <c r="AD29" s="221">
        <f t="shared" si="31"/>
        <v>12136</v>
      </c>
      <c r="AK29" s="221">
        <f t="shared" si="32"/>
        <v>12136</v>
      </c>
      <c r="AR29" s="221">
        <f t="shared" si="33"/>
        <v>12136</v>
      </c>
      <c r="AZ29" s="49">
        <v>136</v>
      </c>
      <c r="BA29" s="49">
        <v>136</v>
      </c>
      <c r="BB29" s="63">
        <v>136</v>
      </c>
      <c r="BC29" s="63">
        <v>136</v>
      </c>
      <c r="BD29" s="63">
        <v>136</v>
      </c>
      <c r="BE29" s="63">
        <v>136</v>
      </c>
      <c r="BF29" s="8">
        <v>136</v>
      </c>
      <c r="BG29" s="4"/>
      <c r="BH29" s="49">
        <v>8500</v>
      </c>
      <c r="BI29" s="49">
        <v>8500</v>
      </c>
      <c r="BJ29" s="63">
        <v>8500</v>
      </c>
      <c r="BK29" s="63">
        <v>8500</v>
      </c>
      <c r="BL29" s="63">
        <v>8500</v>
      </c>
      <c r="BM29" s="63">
        <v>8500</v>
      </c>
      <c r="BN29" s="73">
        <v>8500</v>
      </c>
      <c r="BO29" s="4"/>
      <c r="BP29" s="49">
        <v>3500</v>
      </c>
      <c r="BQ29" s="49">
        <v>3500</v>
      </c>
      <c r="BR29" s="63">
        <v>3500</v>
      </c>
      <c r="BS29" s="63">
        <v>3500</v>
      </c>
      <c r="BT29" s="63">
        <v>3500</v>
      </c>
      <c r="BU29" s="63">
        <v>3500</v>
      </c>
      <c r="BV29" s="8">
        <v>3500</v>
      </c>
      <c r="BW29" s="4"/>
      <c r="BX29" s="49">
        <v>0</v>
      </c>
      <c r="BY29" s="49">
        <v>0</v>
      </c>
      <c r="BZ29" s="63">
        <v>0</v>
      </c>
      <c r="CA29" s="63">
        <v>0</v>
      </c>
      <c r="CB29" s="63">
        <v>0</v>
      </c>
      <c r="CC29" s="63">
        <v>0</v>
      </c>
      <c r="CD29" s="8">
        <v>0</v>
      </c>
    </row>
    <row r="30" spans="1:82" x14ac:dyDescent="0.2">
      <c r="A30" s="212" t="s">
        <v>127</v>
      </c>
      <c r="B30" s="210">
        <f t="shared" si="39"/>
        <v>16970</v>
      </c>
      <c r="C30" s="210"/>
      <c r="D30" s="210"/>
      <c r="E30" s="210"/>
      <c r="F30" s="210"/>
      <c r="G30" s="210"/>
      <c r="H30" s="210"/>
      <c r="I30" s="210">
        <f t="shared" si="40"/>
        <v>14011.74995862069</v>
      </c>
      <c r="P30" s="210">
        <f t="shared" si="41"/>
        <v>15341.594786206899</v>
      </c>
      <c r="W30" s="210">
        <f t="shared" si="36"/>
        <v>17976.174096551727</v>
      </c>
      <c r="AD30" s="210">
        <f t="shared" si="31"/>
        <v>21384.191337931035</v>
      </c>
      <c r="AK30" s="210">
        <f t="shared" si="32"/>
        <v>24856.280303448279</v>
      </c>
      <c r="AR30" s="210">
        <f t="shared" si="33"/>
        <v>27925.578165517247</v>
      </c>
      <c r="AZ30" s="48">
        <f t="shared" ref="AZ30:BF30" si="42">SUM(AZ31:AZ32)</f>
        <v>8000</v>
      </c>
      <c r="BA30" s="48">
        <f t="shared" si="42"/>
        <v>5741</v>
      </c>
      <c r="BB30" s="48">
        <f t="shared" si="42"/>
        <v>5741</v>
      </c>
      <c r="BC30" s="48">
        <f t="shared" si="42"/>
        <v>5741</v>
      </c>
      <c r="BD30" s="48">
        <f t="shared" si="42"/>
        <v>5741</v>
      </c>
      <c r="BE30" s="48">
        <f t="shared" si="42"/>
        <v>5741</v>
      </c>
      <c r="BF30" s="54">
        <f t="shared" si="42"/>
        <v>5741</v>
      </c>
      <c r="BG30" s="4"/>
      <c r="BH30" s="48">
        <v>7720</v>
      </c>
      <c r="BI30" s="48">
        <v>7725.7499586206904</v>
      </c>
      <c r="BJ30" s="48">
        <v>8456.0947862068988</v>
      </c>
      <c r="BK30" s="48">
        <v>9259.4740965517267</v>
      </c>
      <c r="BL30" s="48">
        <v>10143.191337931037</v>
      </c>
      <c r="BM30" s="48">
        <v>11115.28030344828</v>
      </c>
      <c r="BN30" s="54">
        <v>12184.578165517247</v>
      </c>
      <c r="BO30" s="4"/>
      <c r="BP30" s="48">
        <v>1250</v>
      </c>
      <c r="BQ30" s="48">
        <v>545</v>
      </c>
      <c r="BR30" s="48">
        <v>1144.5</v>
      </c>
      <c r="BS30" s="48">
        <v>2975.7000000000003</v>
      </c>
      <c r="BT30" s="48">
        <v>5500</v>
      </c>
      <c r="BU30" s="48">
        <v>8000</v>
      </c>
      <c r="BV30" s="54">
        <v>10000</v>
      </c>
      <c r="BW30" s="4"/>
      <c r="BX30" s="48">
        <v>1500</v>
      </c>
      <c r="BY30" s="48">
        <v>1339.81533333333</v>
      </c>
      <c r="BZ30" s="48">
        <v>2339.8153333333303</v>
      </c>
      <c r="CA30" s="48">
        <v>3339.8153333333303</v>
      </c>
      <c r="CB30" s="48">
        <v>4339.8153333333303</v>
      </c>
      <c r="CC30" s="48">
        <v>5339.8153333333303</v>
      </c>
      <c r="CD30" s="54">
        <v>6339.8153333333303</v>
      </c>
    </row>
    <row r="31" spans="1:82" x14ac:dyDescent="0.2">
      <c r="A31" s="217" t="s">
        <v>128</v>
      </c>
      <c r="B31" s="221">
        <f t="shared" si="39"/>
        <v>4420</v>
      </c>
      <c r="C31" s="210"/>
      <c r="D31" s="210"/>
      <c r="E31" s="210"/>
      <c r="F31" s="210"/>
      <c r="G31" s="210"/>
      <c r="H31" s="210"/>
      <c r="I31" s="221">
        <f t="shared" si="40"/>
        <v>4169.3016827586207</v>
      </c>
      <c r="P31" s="221">
        <f t="shared" si="41"/>
        <v>4169.3016827586207</v>
      </c>
      <c r="W31" s="221">
        <f t="shared" si="36"/>
        <v>4169.3016827586207</v>
      </c>
      <c r="AD31" s="221">
        <f t="shared" si="31"/>
        <v>4169.3016827586207</v>
      </c>
      <c r="AK31" s="221">
        <f t="shared" si="32"/>
        <v>4169.3016827586207</v>
      </c>
      <c r="AR31" s="221">
        <f t="shared" si="33"/>
        <v>4169.3016827586207</v>
      </c>
      <c r="AZ31" s="141">
        <v>4000</v>
      </c>
      <c r="BA31" s="141">
        <v>3747</v>
      </c>
      <c r="BB31" s="142">
        <v>3747</v>
      </c>
      <c r="BC31" s="142">
        <v>3747</v>
      </c>
      <c r="BD31" s="142">
        <v>3747</v>
      </c>
      <c r="BE31" s="142">
        <v>3747</v>
      </c>
      <c r="BF31" s="143">
        <v>3747</v>
      </c>
      <c r="BG31" s="146"/>
      <c r="BH31" s="141">
        <v>420</v>
      </c>
      <c r="BI31" s="141">
        <v>422.30168275862076</v>
      </c>
      <c r="BJ31" s="142">
        <v>422.30168275862076</v>
      </c>
      <c r="BK31" s="142">
        <v>422.30168275862076</v>
      </c>
      <c r="BL31" s="142">
        <v>422.30168275862076</v>
      </c>
      <c r="BM31" s="142">
        <v>422.30168275862076</v>
      </c>
      <c r="BN31" s="143">
        <v>422.30168275862076</v>
      </c>
      <c r="BO31" s="146"/>
      <c r="BP31" s="141">
        <v>0</v>
      </c>
      <c r="BQ31" s="141">
        <v>0</v>
      </c>
      <c r="BR31" s="142">
        <v>0</v>
      </c>
      <c r="BS31" s="142">
        <v>0</v>
      </c>
      <c r="BT31" s="142">
        <v>0</v>
      </c>
      <c r="BU31" s="142">
        <v>0</v>
      </c>
      <c r="BV31" s="143">
        <v>0</v>
      </c>
      <c r="BW31" s="146"/>
      <c r="BX31" s="141">
        <v>0</v>
      </c>
      <c r="BY31" s="141">
        <v>0</v>
      </c>
      <c r="BZ31" s="142">
        <v>0</v>
      </c>
      <c r="CA31" s="142">
        <v>0</v>
      </c>
      <c r="CB31" s="142">
        <v>0</v>
      </c>
      <c r="CC31" s="142">
        <v>0</v>
      </c>
      <c r="CD31" s="143">
        <v>0</v>
      </c>
    </row>
    <row r="32" spans="1:82" x14ac:dyDescent="0.2">
      <c r="A32" s="218" t="s">
        <v>129</v>
      </c>
      <c r="B32" s="221">
        <f t="shared" si="39"/>
        <v>12550</v>
      </c>
      <c r="C32" s="210"/>
      <c r="D32" s="210"/>
      <c r="E32" s="210"/>
      <c r="F32" s="210"/>
      <c r="G32" s="210"/>
      <c r="H32" s="210"/>
      <c r="I32" s="221">
        <f t="shared" si="40"/>
        <v>9842.4482758620688</v>
      </c>
      <c r="P32" s="221">
        <f t="shared" si="41"/>
        <v>11172.293103448277</v>
      </c>
      <c r="W32" s="221">
        <f t="shared" si="36"/>
        <v>13806.872413793106</v>
      </c>
      <c r="AD32" s="221">
        <f t="shared" si="31"/>
        <v>17214.889655172417</v>
      </c>
      <c r="AK32" s="221">
        <f t="shared" si="32"/>
        <v>20686.978620689661</v>
      </c>
      <c r="AR32" s="221">
        <f t="shared" si="33"/>
        <v>23756.276482758625</v>
      </c>
      <c r="AZ32" s="68">
        <v>4000</v>
      </c>
      <c r="BA32" s="68">
        <v>1994</v>
      </c>
      <c r="BB32" s="71">
        <v>1994</v>
      </c>
      <c r="BC32" s="71">
        <v>1994</v>
      </c>
      <c r="BD32" s="71">
        <v>1994</v>
      </c>
      <c r="BE32" s="71">
        <v>1994</v>
      </c>
      <c r="BF32" s="43">
        <v>1994</v>
      </c>
      <c r="BG32" s="4"/>
      <c r="BH32" s="68">
        <v>7300</v>
      </c>
      <c r="BI32" s="68">
        <v>7303.4482758620697</v>
      </c>
      <c r="BJ32" s="71">
        <v>8033.7931034482772</v>
      </c>
      <c r="BK32" s="71">
        <v>8837.1724137931051</v>
      </c>
      <c r="BL32" s="71">
        <v>9720.8896551724156</v>
      </c>
      <c r="BM32" s="71">
        <v>10692.978620689659</v>
      </c>
      <c r="BN32" s="43">
        <v>11762.276482758625</v>
      </c>
      <c r="BO32" s="4"/>
      <c r="BP32" s="68">
        <v>1250</v>
      </c>
      <c r="BQ32" s="68">
        <v>545</v>
      </c>
      <c r="BR32" s="71">
        <v>1144.5</v>
      </c>
      <c r="BS32" s="71">
        <v>2975.7000000000003</v>
      </c>
      <c r="BT32" s="71">
        <v>5500</v>
      </c>
      <c r="BU32" s="71">
        <v>8000</v>
      </c>
      <c r="BV32" s="43">
        <v>10000</v>
      </c>
      <c r="BW32" s="4"/>
      <c r="BX32" s="68">
        <v>1500</v>
      </c>
      <c r="BY32" s="68">
        <v>1339.81533333333</v>
      </c>
      <c r="BZ32" s="71">
        <v>2339.8153333333303</v>
      </c>
      <c r="CA32" s="71">
        <v>3339.8153333333303</v>
      </c>
      <c r="CB32" s="71">
        <v>4339.8153333333303</v>
      </c>
      <c r="CC32" s="71">
        <v>5339.8153333333303</v>
      </c>
      <c r="CD32" s="43">
        <v>6339.8153333333303</v>
      </c>
    </row>
    <row r="33" spans="1:82" x14ac:dyDescent="0.2">
      <c r="A33" s="219"/>
      <c r="B33" s="210"/>
      <c r="C33" s="210"/>
      <c r="D33" s="210"/>
      <c r="E33" s="210"/>
      <c r="F33" s="210"/>
      <c r="G33" s="210"/>
      <c r="H33" s="210"/>
      <c r="AZ33" s="9"/>
      <c r="BA33" s="9"/>
      <c r="BB33" s="9"/>
      <c r="BC33" s="9"/>
      <c r="BD33" s="9"/>
      <c r="BE33" s="9"/>
      <c r="BF33" s="9"/>
      <c r="BG33" s="4"/>
      <c r="BH33" s="9"/>
      <c r="BI33" s="9"/>
      <c r="BJ33" s="9"/>
      <c r="BK33" s="9"/>
      <c r="BL33" s="9"/>
      <c r="BM33" s="9"/>
      <c r="BN33" s="9"/>
      <c r="BO33" s="4"/>
      <c r="BP33" s="9"/>
      <c r="BQ33" s="9"/>
      <c r="BR33" s="9"/>
      <c r="BS33" s="9"/>
      <c r="BT33" s="9"/>
      <c r="BU33" s="9"/>
      <c r="BV33" s="9"/>
      <c r="BW33" s="4"/>
      <c r="BX33" s="9"/>
      <c r="BY33" s="9"/>
      <c r="BZ33" s="9"/>
      <c r="CA33" s="9"/>
      <c r="CB33" s="9"/>
      <c r="CC33" s="9"/>
      <c r="CD33" s="9"/>
    </row>
    <row r="34" spans="1:82" x14ac:dyDescent="0.2">
      <c r="A34" s="220"/>
      <c r="B34" s="221"/>
      <c r="C34" s="221"/>
      <c r="D34" s="221"/>
      <c r="E34" s="222"/>
      <c r="F34" s="222"/>
      <c r="G34" s="222"/>
      <c r="H34" s="222"/>
      <c r="I34" s="221"/>
      <c r="P34" s="221"/>
      <c r="W34" s="221"/>
      <c r="AD34" s="221"/>
      <c r="AK34" s="221"/>
      <c r="AR34" s="221"/>
      <c r="AZ34" s="9"/>
      <c r="BA34" s="9"/>
      <c r="BB34" s="9"/>
      <c r="BC34" s="4"/>
      <c r="BD34" s="4"/>
      <c r="BE34" s="4"/>
      <c r="BF34" s="4"/>
      <c r="BG34" s="4"/>
      <c r="BH34" s="9"/>
      <c r="BI34" s="9"/>
      <c r="BJ34" s="9"/>
      <c r="BK34" s="9"/>
      <c r="BL34" s="9"/>
      <c r="BM34" s="9"/>
      <c r="BN34" s="9"/>
      <c r="BO34" s="4"/>
      <c r="BP34" s="9"/>
      <c r="BQ34" s="9"/>
      <c r="BR34" s="9"/>
      <c r="BS34" s="9"/>
      <c r="BT34" s="9"/>
      <c r="BU34" s="9"/>
      <c r="BV34" s="9"/>
      <c r="BW34" s="4"/>
      <c r="BX34" s="9"/>
      <c r="BY34" s="9"/>
      <c r="BZ34" s="9"/>
      <c r="CA34" s="9"/>
      <c r="CB34" s="9"/>
      <c r="CC34" s="9"/>
      <c r="CD34" s="9"/>
    </row>
    <row r="35" spans="1:82" x14ac:dyDescent="0.2">
      <c r="A35" s="223" t="s">
        <v>130</v>
      </c>
      <c r="B35" s="224">
        <v>7000</v>
      </c>
      <c r="C35" s="225">
        <v>10000</v>
      </c>
      <c r="D35" s="225">
        <v>16000</v>
      </c>
      <c r="E35" s="225">
        <v>20000</v>
      </c>
      <c r="F35" s="225">
        <v>25000</v>
      </c>
      <c r="G35" s="225">
        <v>32000</v>
      </c>
      <c r="H35" s="225">
        <v>39000</v>
      </c>
      <c r="AZ35" s="147">
        <v>7000</v>
      </c>
      <c r="BA35" s="145">
        <v>10000</v>
      </c>
      <c r="BB35" s="145">
        <v>16000</v>
      </c>
      <c r="BC35" s="145">
        <v>20000</v>
      </c>
      <c r="BD35" s="145">
        <v>25000</v>
      </c>
      <c r="BE35" s="145">
        <v>32000</v>
      </c>
      <c r="BF35" s="145">
        <v>39000</v>
      </c>
      <c r="BG35" s="146"/>
      <c r="BH35" s="145">
        <v>0</v>
      </c>
      <c r="BI35" s="145">
        <v>0</v>
      </c>
      <c r="BJ35" s="145">
        <v>6000</v>
      </c>
      <c r="BK35" s="145">
        <v>10000</v>
      </c>
      <c r="BL35" s="145">
        <v>16000</v>
      </c>
      <c r="BM35" s="145">
        <v>22000</v>
      </c>
      <c r="BN35" s="145">
        <v>29000</v>
      </c>
      <c r="BO35" s="146"/>
      <c r="BP35" s="145">
        <v>0</v>
      </c>
      <c r="BQ35" s="145">
        <v>0</v>
      </c>
      <c r="BR35" s="145">
        <v>0</v>
      </c>
      <c r="BS35" s="145">
        <v>0</v>
      </c>
      <c r="BT35" s="145">
        <v>4000</v>
      </c>
      <c r="BU35" s="145">
        <v>14000</v>
      </c>
      <c r="BV35" s="145">
        <v>29000</v>
      </c>
      <c r="BW35" s="146"/>
      <c r="BX35" s="145">
        <v>0</v>
      </c>
      <c r="BY35" s="145">
        <v>0</v>
      </c>
      <c r="BZ35" s="145">
        <v>0</v>
      </c>
      <c r="CA35" s="145">
        <v>0</v>
      </c>
      <c r="CB35" s="145">
        <v>0</v>
      </c>
      <c r="CC35" s="145">
        <v>0</v>
      </c>
      <c r="CD35" s="145">
        <v>1000</v>
      </c>
    </row>
    <row r="36" spans="1:82" x14ac:dyDescent="0.2">
      <c r="A36" s="220"/>
      <c r="B36" s="221"/>
      <c r="C36" s="221"/>
      <c r="D36" s="221"/>
      <c r="E36" s="221"/>
      <c r="F36" s="221"/>
      <c r="G36" s="221"/>
      <c r="H36" s="221"/>
      <c r="AZ36" s="9"/>
      <c r="BA36" s="9"/>
      <c r="BB36" s="9"/>
      <c r="BC36" s="9"/>
      <c r="BD36" s="9"/>
      <c r="BE36" s="9"/>
      <c r="BF36" s="9"/>
      <c r="BG36" s="4"/>
      <c r="BH36" s="9"/>
      <c r="BI36" s="9"/>
      <c r="BJ36" s="9"/>
      <c r="BK36" s="9"/>
      <c r="BL36" s="9"/>
      <c r="BM36" s="9"/>
      <c r="BN36" s="9"/>
      <c r="BO36" s="4"/>
      <c r="BP36" s="9"/>
      <c r="BQ36" s="9"/>
      <c r="BR36" s="9"/>
      <c r="BS36" s="9"/>
      <c r="BT36" s="9"/>
      <c r="BU36" s="9"/>
      <c r="BV36" s="9"/>
      <c r="BW36" s="4"/>
      <c r="BX36" s="9"/>
      <c r="BY36" s="9"/>
      <c r="BZ36" s="9"/>
      <c r="CA36" s="9"/>
      <c r="CB36" s="9"/>
      <c r="CC36" s="9"/>
      <c r="CD36" s="9"/>
    </row>
    <row r="37" spans="1:82" x14ac:dyDescent="0.2">
      <c r="A37" s="220" t="s">
        <v>131</v>
      </c>
      <c r="B37" s="222"/>
      <c r="C37" s="222"/>
      <c r="D37" s="222"/>
      <c r="E37" s="222"/>
      <c r="F37" s="222"/>
      <c r="G37" s="222"/>
      <c r="H37" s="222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</row>
    <row r="39" spans="1:82" ht="17" thickBot="1" x14ac:dyDescent="0.25">
      <c r="A39" s="278" t="s">
        <v>153</v>
      </c>
    </row>
    <row r="40" spans="1:82" x14ac:dyDescent="0.2">
      <c r="A40" s="236" t="s">
        <v>154</v>
      </c>
      <c r="B40" s="236"/>
    </row>
    <row r="41" spans="1:82" ht="34" x14ac:dyDescent="0.2">
      <c r="A41" s="240" t="s">
        <v>155</v>
      </c>
      <c r="B41" s="407" t="s">
        <v>96</v>
      </c>
      <c r="C41" s="407" t="s">
        <v>97</v>
      </c>
      <c r="D41" s="173" t="s">
        <v>98</v>
      </c>
      <c r="E41" s="173" t="s">
        <v>99</v>
      </c>
      <c r="F41" s="173" t="s">
        <v>100</v>
      </c>
      <c r="G41" s="173" t="s">
        <v>101</v>
      </c>
      <c r="H41" s="173" t="s">
        <v>102</v>
      </c>
    </row>
    <row r="42" spans="1:82" x14ac:dyDescent="0.2">
      <c r="A42" s="245" t="s">
        <v>156</v>
      </c>
      <c r="B42" s="206">
        <f t="shared" ref="B42:H42" si="43">AZ20</f>
        <v>30001</v>
      </c>
      <c r="C42" s="206">
        <f t="shared" si="43"/>
        <v>30001</v>
      </c>
      <c r="D42" s="206">
        <f t="shared" si="43"/>
        <v>30001</v>
      </c>
      <c r="E42" s="206">
        <f t="shared" si="43"/>
        <v>30001</v>
      </c>
      <c r="F42" s="206">
        <f t="shared" si="43"/>
        <v>30001</v>
      </c>
      <c r="G42" s="206">
        <f t="shared" si="43"/>
        <v>30001</v>
      </c>
      <c r="H42" s="206">
        <f t="shared" si="43"/>
        <v>30001</v>
      </c>
      <c r="M42" s="395"/>
      <c r="N42" s="395"/>
      <c r="O42" s="395"/>
      <c r="P42" s="395"/>
      <c r="Q42" s="395"/>
      <c r="R42" s="395"/>
      <c r="S42" s="395"/>
    </row>
    <row r="43" spans="1:82" x14ac:dyDescent="0.2">
      <c r="A43" s="246" t="s">
        <v>157</v>
      </c>
      <c r="B43" s="237">
        <f t="shared" ref="B43:H43" si="44">AZ23</f>
        <v>917</v>
      </c>
      <c r="C43" s="237">
        <f t="shared" si="44"/>
        <v>917.16800000000001</v>
      </c>
      <c r="D43" s="237">
        <f t="shared" si="44"/>
        <v>917.16800000000001</v>
      </c>
      <c r="E43" s="237">
        <f t="shared" si="44"/>
        <v>917.16800000000001</v>
      </c>
      <c r="F43" s="237">
        <f t="shared" si="44"/>
        <v>917.16800000000001</v>
      </c>
      <c r="G43" s="237">
        <f t="shared" si="44"/>
        <v>917.16800000000001</v>
      </c>
      <c r="H43" s="237">
        <f t="shared" si="44"/>
        <v>917.16800000000001</v>
      </c>
    </row>
    <row r="44" spans="1:82" ht="17" thickBot="1" x14ac:dyDescent="0.25">
      <c r="A44" s="247" t="s">
        <v>158</v>
      </c>
      <c r="B44" s="239">
        <f>B42+B43</f>
        <v>30918</v>
      </c>
      <c r="C44" s="239">
        <f t="shared" ref="C44:H44" si="45">C42+C43</f>
        <v>30918.168000000001</v>
      </c>
      <c r="D44" s="239">
        <f t="shared" si="45"/>
        <v>30918.168000000001</v>
      </c>
      <c r="E44" s="239">
        <f t="shared" si="45"/>
        <v>30918.168000000001</v>
      </c>
      <c r="F44" s="239">
        <f t="shared" si="45"/>
        <v>30918.168000000001</v>
      </c>
      <c r="G44" s="239">
        <f t="shared" si="45"/>
        <v>30918.168000000001</v>
      </c>
      <c r="H44" s="239">
        <f t="shared" si="45"/>
        <v>30918.168000000001</v>
      </c>
      <c r="J44" s="221"/>
    </row>
    <row r="45" spans="1:82" ht="17" thickTop="1" x14ac:dyDescent="0.2">
      <c r="A45" s="240" t="s">
        <v>159</v>
      </c>
      <c r="B45" s="177"/>
      <c r="C45" s="177"/>
      <c r="D45" s="177"/>
      <c r="E45" s="177"/>
      <c r="F45" s="177"/>
      <c r="G45" s="177"/>
      <c r="H45" s="177"/>
      <c r="J45" s="221"/>
      <c r="AX45" s="165"/>
      <c r="AY45" s="165"/>
      <c r="AZ45" s="165"/>
      <c r="BA45" s="165"/>
      <c r="BB45" s="165"/>
      <c r="BC45" s="165"/>
      <c r="BD45" s="165"/>
    </row>
    <row r="46" spans="1:82" x14ac:dyDescent="0.2">
      <c r="A46" s="245" t="s">
        <v>156</v>
      </c>
      <c r="B46" s="206">
        <f t="shared" ref="B46:H46" si="46">BH20</f>
        <v>20030</v>
      </c>
      <c r="C46" s="206">
        <f t="shared" si="46"/>
        <v>20030.344827586207</v>
      </c>
      <c r="D46" s="206">
        <f t="shared" si="46"/>
        <v>20030.344827586207</v>
      </c>
      <c r="E46" s="206">
        <f t="shared" si="46"/>
        <v>20030.344827586207</v>
      </c>
      <c r="F46" s="206">
        <f t="shared" si="46"/>
        <v>20030.344827586207</v>
      </c>
      <c r="G46" s="206">
        <f t="shared" si="46"/>
        <v>20030.344827586207</v>
      </c>
      <c r="H46" s="206">
        <f t="shared" si="46"/>
        <v>20030.344827586207</v>
      </c>
      <c r="AX46" s="206"/>
      <c r="AY46" s="203"/>
      <c r="AZ46" s="203"/>
      <c r="BA46" s="203"/>
      <c r="BB46" s="203"/>
      <c r="BC46" s="203"/>
      <c r="BD46" s="203"/>
    </row>
    <row r="47" spans="1:82" x14ac:dyDescent="0.2">
      <c r="A47" s="246" t="s">
        <v>157</v>
      </c>
      <c r="B47" s="237">
        <f t="shared" ref="B47:H47" si="47">BH23</f>
        <v>562</v>
      </c>
      <c r="C47" s="238">
        <f t="shared" si="47"/>
        <v>562.15746573082561</v>
      </c>
      <c r="D47" s="238">
        <f t="shared" si="47"/>
        <v>562.15746573082561</v>
      </c>
      <c r="E47" s="238">
        <f t="shared" si="47"/>
        <v>562.15746573082561</v>
      </c>
      <c r="F47" s="238">
        <f t="shared" si="47"/>
        <v>562.15746573082561</v>
      </c>
      <c r="G47" s="238">
        <f t="shared" si="47"/>
        <v>562.15746573082561</v>
      </c>
      <c r="H47" s="238">
        <f t="shared" si="47"/>
        <v>562.15746573082561</v>
      </c>
      <c r="AX47" s="206"/>
      <c r="AY47" s="203"/>
      <c r="AZ47" s="203"/>
      <c r="BA47" s="203"/>
      <c r="BB47" s="203"/>
      <c r="BC47" s="203"/>
      <c r="BD47" s="203"/>
    </row>
    <row r="48" spans="1:82" ht="17" thickBot="1" x14ac:dyDescent="0.25">
      <c r="A48" s="247" t="s">
        <v>158</v>
      </c>
      <c r="B48" s="239">
        <f>B46+B47</f>
        <v>20592</v>
      </c>
      <c r="C48" s="239">
        <f t="shared" ref="C48:H48" si="48">C46+C47</f>
        <v>20592.502293317033</v>
      </c>
      <c r="D48" s="239">
        <f t="shared" si="48"/>
        <v>20592.502293317033</v>
      </c>
      <c r="E48" s="239">
        <f t="shared" si="48"/>
        <v>20592.502293317033</v>
      </c>
      <c r="F48" s="239">
        <f t="shared" si="48"/>
        <v>20592.502293317033</v>
      </c>
      <c r="G48" s="239">
        <f t="shared" si="48"/>
        <v>20592.502293317033</v>
      </c>
      <c r="H48" s="239">
        <f t="shared" si="48"/>
        <v>20592.502293317033</v>
      </c>
      <c r="AX48" s="203"/>
      <c r="AY48" s="203"/>
      <c r="AZ48" s="203"/>
      <c r="BA48" s="203"/>
      <c r="BB48" s="203"/>
      <c r="BC48" s="203"/>
      <c r="BD48" s="203"/>
    </row>
    <row r="49" spans="1:10" ht="17" thickTop="1" x14ac:dyDescent="0.2">
      <c r="A49" s="240" t="s">
        <v>160</v>
      </c>
      <c r="B49" s="177"/>
      <c r="C49" s="177"/>
      <c r="D49" s="177"/>
      <c r="E49" s="177"/>
      <c r="F49" s="177"/>
      <c r="G49" s="177"/>
      <c r="H49" s="177"/>
      <c r="J49" s="234"/>
    </row>
    <row r="50" spans="1:10" x14ac:dyDescent="0.2">
      <c r="A50" s="245" t="s">
        <v>156</v>
      </c>
      <c r="B50" s="206">
        <f t="shared" ref="B50:H50" si="49">BP20</f>
        <v>7001</v>
      </c>
      <c r="C50" s="206">
        <f t="shared" si="49"/>
        <v>7001</v>
      </c>
      <c r="D50" s="206">
        <f t="shared" si="49"/>
        <v>7001</v>
      </c>
      <c r="E50" s="206">
        <f t="shared" si="49"/>
        <v>7001</v>
      </c>
      <c r="F50" s="206">
        <f t="shared" si="49"/>
        <v>7001</v>
      </c>
      <c r="G50" s="206">
        <f t="shared" si="49"/>
        <v>7001</v>
      </c>
      <c r="H50" s="206">
        <f t="shared" si="49"/>
        <v>7001</v>
      </c>
    </row>
    <row r="51" spans="1:10" x14ac:dyDescent="0.2">
      <c r="A51" s="246" t="s">
        <v>157</v>
      </c>
      <c r="B51" s="237">
        <f t="shared" ref="B51:H51" si="50">BP23</f>
        <v>12</v>
      </c>
      <c r="C51" s="237">
        <f t="shared" si="50"/>
        <v>12</v>
      </c>
      <c r="D51" s="237">
        <f t="shared" si="50"/>
        <v>12</v>
      </c>
      <c r="E51" s="237">
        <f t="shared" si="50"/>
        <v>12</v>
      </c>
      <c r="F51" s="237">
        <f t="shared" si="50"/>
        <v>12</v>
      </c>
      <c r="G51" s="237">
        <f t="shared" si="50"/>
        <v>12</v>
      </c>
      <c r="H51" s="237">
        <f t="shared" si="50"/>
        <v>12</v>
      </c>
    </row>
    <row r="52" spans="1:10" ht="17" thickBot="1" x14ac:dyDescent="0.25">
      <c r="A52" s="247" t="s">
        <v>158</v>
      </c>
      <c r="B52" s="239">
        <f>B50+B51</f>
        <v>7013</v>
      </c>
      <c r="C52" s="239">
        <f t="shared" ref="C52:H52" si="51">C50+C51</f>
        <v>7013</v>
      </c>
      <c r="D52" s="239">
        <f t="shared" si="51"/>
        <v>7013</v>
      </c>
      <c r="E52" s="239">
        <f t="shared" si="51"/>
        <v>7013</v>
      </c>
      <c r="F52" s="239">
        <f t="shared" si="51"/>
        <v>7013</v>
      </c>
      <c r="G52" s="239">
        <f t="shared" si="51"/>
        <v>7013</v>
      </c>
      <c r="H52" s="239">
        <f t="shared" si="51"/>
        <v>7013</v>
      </c>
    </row>
    <row r="53" spans="1:10" ht="17" thickTop="1" x14ac:dyDescent="0.2">
      <c r="A53" s="240" t="s">
        <v>161</v>
      </c>
      <c r="B53" s="177"/>
      <c r="C53" s="177"/>
      <c r="D53" s="177"/>
      <c r="E53" s="177"/>
      <c r="F53" s="177"/>
      <c r="G53" s="177"/>
      <c r="H53" s="177"/>
    </row>
    <row r="54" spans="1:10" x14ac:dyDescent="0.2">
      <c r="A54" s="245" t="s">
        <v>156</v>
      </c>
      <c r="B54" s="206">
        <f t="shared" ref="B54:H54" si="52">BX20</f>
        <v>6</v>
      </c>
      <c r="C54" s="206">
        <f t="shared" si="52"/>
        <v>5.5555555555555554</v>
      </c>
      <c r="D54" s="206">
        <f t="shared" si="52"/>
        <v>5.5555555555555554</v>
      </c>
      <c r="E54" s="206">
        <f t="shared" si="52"/>
        <v>5.5555555555555554</v>
      </c>
      <c r="F54" s="206">
        <f t="shared" si="52"/>
        <v>5.5555555555555554</v>
      </c>
      <c r="G54" s="206">
        <f t="shared" si="52"/>
        <v>5.5555555555555554</v>
      </c>
      <c r="H54" s="206">
        <f t="shared" si="52"/>
        <v>5.5555555555555554</v>
      </c>
    </row>
    <row r="55" spans="1:10" x14ac:dyDescent="0.2">
      <c r="A55" s="246" t="s">
        <v>157</v>
      </c>
      <c r="B55" s="237">
        <f t="shared" ref="B55:H55" si="53">BX23</f>
        <v>30</v>
      </c>
      <c r="C55" s="237">
        <f t="shared" si="53"/>
        <v>30.044842666666561</v>
      </c>
      <c r="D55" s="237">
        <f t="shared" si="53"/>
        <v>30.044842666666561</v>
      </c>
      <c r="E55" s="237">
        <f t="shared" si="53"/>
        <v>30.044842666666561</v>
      </c>
      <c r="F55" s="237">
        <f t="shared" si="53"/>
        <v>30.044842666666561</v>
      </c>
      <c r="G55" s="237">
        <f t="shared" si="53"/>
        <v>30.044842666666561</v>
      </c>
      <c r="H55" s="237">
        <f t="shared" si="53"/>
        <v>30.044842666666561</v>
      </c>
    </row>
    <row r="56" spans="1:10" ht="17" thickBot="1" x14ac:dyDescent="0.25">
      <c r="A56" s="247" t="s">
        <v>158</v>
      </c>
      <c r="B56" s="239">
        <f>B54+B55</f>
        <v>36</v>
      </c>
      <c r="C56" s="239">
        <f t="shared" ref="C56:H56" si="54">C54+C55</f>
        <v>35.600398222222118</v>
      </c>
      <c r="D56" s="239">
        <f t="shared" si="54"/>
        <v>35.600398222222118</v>
      </c>
      <c r="E56" s="239">
        <f t="shared" si="54"/>
        <v>35.600398222222118</v>
      </c>
      <c r="F56" s="239">
        <f t="shared" si="54"/>
        <v>35.600398222222118</v>
      </c>
      <c r="G56" s="239">
        <f t="shared" si="54"/>
        <v>35.600398222222118</v>
      </c>
      <c r="H56" s="239">
        <f t="shared" si="54"/>
        <v>35.600398222222118</v>
      </c>
    </row>
    <row r="57" spans="1:10" ht="17" thickTop="1" x14ac:dyDescent="0.2">
      <c r="A57" s="196"/>
    </row>
    <row r="58" spans="1:10" x14ac:dyDescent="0.2">
      <c r="A58" s="241" t="s">
        <v>162</v>
      </c>
      <c r="B58" s="242"/>
      <c r="C58" s="243"/>
    </row>
    <row r="59" spans="1:10" ht="34" x14ac:dyDescent="0.2">
      <c r="A59" s="240" t="s">
        <v>159</v>
      </c>
      <c r="B59" s="407" t="s">
        <v>96</v>
      </c>
      <c r="C59" s="407" t="s">
        <v>97</v>
      </c>
      <c r="D59" s="173" t="s">
        <v>98</v>
      </c>
      <c r="E59" s="173" t="s">
        <v>99</v>
      </c>
      <c r="F59" s="173" t="s">
        <v>100</v>
      </c>
      <c r="G59" s="173" t="s">
        <v>101</v>
      </c>
      <c r="H59" s="173" t="s">
        <v>102</v>
      </c>
    </row>
    <row r="60" spans="1:10" x14ac:dyDescent="0.2">
      <c r="A60" s="245" t="s">
        <v>163</v>
      </c>
      <c r="B60" s="244">
        <f t="shared" ref="B60:H60" si="55">AZ9</f>
        <v>2000</v>
      </c>
      <c r="C60" s="244">
        <f t="shared" si="55"/>
        <v>2000</v>
      </c>
      <c r="D60" s="244">
        <f t="shared" si="55"/>
        <v>2000</v>
      </c>
      <c r="E60" s="244">
        <f t="shared" si="55"/>
        <v>2000</v>
      </c>
      <c r="F60" s="244">
        <f t="shared" si="55"/>
        <v>2000</v>
      </c>
      <c r="G60" s="244">
        <f t="shared" si="55"/>
        <v>2000</v>
      </c>
      <c r="H60" s="244">
        <f t="shared" si="55"/>
        <v>2000</v>
      </c>
    </row>
    <row r="61" spans="1:10" x14ac:dyDescent="0.2">
      <c r="A61" s="245" t="s">
        <v>164</v>
      </c>
      <c r="B61" s="249">
        <f>(B46+B47)*10%</f>
        <v>2059.2000000000003</v>
      </c>
      <c r="C61" s="249">
        <f t="shared" ref="C61:H61" si="56">(C46+C47)*10%</f>
        <v>2059.2502293317034</v>
      </c>
      <c r="D61" s="249">
        <f t="shared" si="56"/>
        <v>2059.2502293317034</v>
      </c>
      <c r="E61" s="249">
        <f t="shared" si="56"/>
        <v>2059.2502293317034</v>
      </c>
      <c r="F61" s="249">
        <f t="shared" si="56"/>
        <v>2059.2502293317034</v>
      </c>
      <c r="G61" s="249">
        <f t="shared" si="56"/>
        <v>2059.2502293317034</v>
      </c>
      <c r="H61" s="249">
        <f t="shared" si="56"/>
        <v>2059.2502293317034</v>
      </c>
    </row>
    <row r="62" spans="1:10" x14ac:dyDescent="0.2">
      <c r="A62" s="246" t="s">
        <v>165</v>
      </c>
      <c r="B62" s="250">
        <f>B48</f>
        <v>20592</v>
      </c>
      <c r="C62" s="250">
        <f t="shared" ref="C62:H62" si="57">C48</f>
        <v>20592.502293317033</v>
      </c>
      <c r="D62" s="250">
        <f t="shared" si="57"/>
        <v>20592.502293317033</v>
      </c>
      <c r="E62" s="250">
        <f t="shared" si="57"/>
        <v>20592.502293317033</v>
      </c>
      <c r="F62" s="250">
        <f t="shared" si="57"/>
        <v>20592.502293317033</v>
      </c>
      <c r="G62" s="250">
        <f t="shared" si="57"/>
        <v>20592.502293317033</v>
      </c>
      <c r="H62" s="250">
        <f t="shared" si="57"/>
        <v>20592.502293317033</v>
      </c>
    </row>
    <row r="63" spans="1:10" ht="18" customHeight="1" thickBot="1" x14ac:dyDescent="0.25">
      <c r="A63" s="248" t="s">
        <v>166</v>
      </c>
      <c r="B63" s="251">
        <f>B60+B61-B62</f>
        <v>-16532.8</v>
      </c>
      <c r="C63" s="251">
        <f t="shared" ref="C63:H63" si="58">C60+C61-C62</f>
        <v>-16533.252063985328</v>
      </c>
      <c r="D63" s="251">
        <f t="shared" si="58"/>
        <v>-16533.252063985328</v>
      </c>
      <c r="E63" s="251">
        <f t="shared" si="58"/>
        <v>-16533.252063985328</v>
      </c>
      <c r="F63" s="251">
        <f t="shared" si="58"/>
        <v>-16533.252063985328</v>
      </c>
      <c r="G63" s="251">
        <f t="shared" si="58"/>
        <v>-16533.252063985328</v>
      </c>
      <c r="H63" s="251">
        <f t="shared" si="58"/>
        <v>-16533.252063985328</v>
      </c>
    </row>
    <row r="64" spans="1:10" ht="17" thickTop="1" x14ac:dyDescent="0.2">
      <c r="A64" s="240" t="s">
        <v>160</v>
      </c>
      <c r="B64" s="242"/>
      <c r="C64" s="243"/>
    </row>
    <row r="65" spans="1:10" x14ac:dyDescent="0.2">
      <c r="A65" s="245" t="s">
        <v>167</v>
      </c>
      <c r="B65" s="252">
        <f t="shared" ref="B65:H65" si="59">AZ10</f>
        <v>1500</v>
      </c>
      <c r="C65" s="252">
        <f t="shared" si="59"/>
        <v>1500</v>
      </c>
      <c r="D65" s="252">
        <f t="shared" si="59"/>
        <v>1500</v>
      </c>
      <c r="E65" s="252">
        <f t="shared" si="59"/>
        <v>1500</v>
      </c>
      <c r="F65" s="252">
        <f t="shared" si="59"/>
        <v>1500</v>
      </c>
      <c r="G65" s="252">
        <f t="shared" si="59"/>
        <v>1500</v>
      </c>
      <c r="H65" s="252">
        <f t="shared" si="59"/>
        <v>1500</v>
      </c>
    </row>
    <row r="66" spans="1:10" x14ac:dyDescent="0.2">
      <c r="A66" s="245" t="s">
        <v>164</v>
      </c>
      <c r="B66" s="253">
        <f>(B50+B51)*40%</f>
        <v>2805.2000000000003</v>
      </c>
      <c r="C66" s="253">
        <f t="shared" ref="C66:H66" si="60">(C50+C51)*40%</f>
        <v>2805.2000000000003</v>
      </c>
      <c r="D66" s="253">
        <f t="shared" si="60"/>
        <v>2805.2000000000003</v>
      </c>
      <c r="E66" s="253">
        <f t="shared" si="60"/>
        <v>2805.2000000000003</v>
      </c>
      <c r="F66" s="253">
        <f t="shared" si="60"/>
        <v>2805.2000000000003</v>
      </c>
      <c r="G66" s="253">
        <f t="shared" si="60"/>
        <v>2805.2000000000003</v>
      </c>
      <c r="H66" s="253">
        <f t="shared" si="60"/>
        <v>2805.2000000000003</v>
      </c>
    </row>
    <row r="67" spans="1:10" x14ac:dyDescent="0.2">
      <c r="A67" s="246" t="s">
        <v>165</v>
      </c>
      <c r="B67" s="254">
        <f>B52</f>
        <v>7013</v>
      </c>
      <c r="C67" s="254">
        <f t="shared" ref="C67:H67" si="61">C52</f>
        <v>7013</v>
      </c>
      <c r="D67" s="254">
        <f t="shared" si="61"/>
        <v>7013</v>
      </c>
      <c r="E67" s="254">
        <f t="shared" si="61"/>
        <v>7013</v>
      </c>
      <c r="F67" s="254">
        <f t="shared" si="61"/>
        <v>7013</v>
      </c>
      <c r="G67" s="254">
        <f t="shared" si="61"/>
        <v>7013</v>
      </c>
      <c r="H67" s="254">
        <f t="shared" si="61"/>
        <v>7013</v>
      </c>
    </row>
    <row r="68" spans="1:10" ht="17" thickBot="1" x14ac:dyDescent="0.25">
      <c r="A68" s="248" t="s">
        <v>166</v>
      </c>
      <c r="B68" s="239">
        <f>B65+B66-B67</f>
        <v>-2707.7999999999993</v>
      </c>
      <c r="C68" s="239">
        <f t="shared" ref="C68:H68" si="62">C65+C66-C67</f>
        <v>-2707.7999999999993</v>
      </c>
      <c r="D68" s="239">
        <f t="shared" si="62"/>
        <v>-2707.7999999999993</v>
      </c>
      <c r="E68" s="239">
        <f t="shared" si="62"/>
        <v>-2707.7999999999993</v>
      </c>
      <c r="F68" s="239">
        <f t="shared" si="62"/>
        <v>-2707.7999999999993</v>
      </c>
      <c r="G68" s="239">
        <f t="shared" si="62"/>
        <v>-2707.7999999999993</v>
      </c>
      <c r="H68" s="239">
        <f t="shared" si="62"/>
        <v>-2707.7999999999993</v>
      </c>
    </row>
    <row r="69" spans="1:10" ht="17" thickTop="1" x14ac:dyDescent="0.2">
      <c r="A69" s="240" t="s">
        <v>161</v>
      </c>
      <c r="B69" s="242"/>
      <c r="C69" s="243"/>
    </row>
    <row r="70" spans="1:10" x14ac:dyDescent="0.2">
      <c r="A70" s="245" t="s">
        <v>168</v>
      </c>
      <c r="B70" s="252">
        <f t="shared" ref="B70:H70" si="63">AZ11</f>
        <v>15</v>
      </c>
      <c r="C70" s="252">
        <f t="shared" si="63"/>
        <v>15</v>
      </c>
      <c r="D70" s="252">
        <f t="shared" si="63"/>
        <v>15</v>
      </c>
      <c r="E70" s="252">
        <f t="shared" si="63"/>
        <v>15</v>
      </c>
      <c r="F70" s="252">
        <f t="shared" si="63"/>
        <v>15</v>
      </c>
      <c r="G70" s="252">
        <f t="shared" si="63"/>
        <v>15</v>
      </c>
      <c r="H70" s="252">
        <f t="shared" si="63"/>
        <v>15</v>
      </c>
    </row>
    <row r="71" spans="1:10" x14ac:dyDescent="0.2">
      <c r="A71" s="245" t="s">
        <v>164</v>
      </c>
      <c r="B71" s="253">
        <f>(B54+B55)*70%</f>
        <v>25.2</v>
      </c>
      <c r="C71" s="253">
        <f t="shared" ref="C71:H71" si="64">(C54+C55)*70%</f>
        <v>24.920278755555483</v>
      </c>
      <c r="D71" s="253">
        <f t="shared" si="64"/>
        <v>24.920278755555483</v>
      </c>
      <c r="E71" s="253">
        <f t="shared" si="64"/>
        <v>24.920278755555483</v>
      </c>
      <c r="F71" s="253">
        <f t="shared" si="64"/>
        <v>24.920278755555483</v>
      </c>
      <c r="G71" s="253">
        <f t="shared" si="64"/>
        <v>24.920278755555483</v>
      </c>
      <c r="H71" s="253">
        <f t="shared" si="64"/>
        <v>24.920278755555483</v>
      </c>
    </row>
    <row r="72" spans="1:10" x14ac:dyDescent="0.2">
      <c r="A72" s="246" t="s">
        <v>165</v>
      </c>
      <c r="B72" s="254">
        <f>B56</f>
        <v>36</v>
      </c>
      <c r="C72" s="254">
        <f t="shared" ref="C72:H72" si="65">C56</f>
        <v>35.600398222222118</v>
      </c>
      <c r="D72" s="254">
        <f t="shared" si="65"/>
        <v>35.600398222222118</v>
      </c>
      <c r="E72" s="254">
        <f t="shared" si="65"/>
        <v>35.600398222222118</v>
      </c>
      <c r="F72" s="254">
        <f t="shared" si="65"/>
        <v>35.600398222222118</v>
      </c>
      <c r="G72" s="254">
        <f t="shared" si="65"/>
        <v>35.600398222222118</v>
      </c>
      <c r="H72" s="254">
        <f t="shared" si="65"/>
        <v>35.600398222222118</v>
      </c>
    </row>
    <row r="73" spans="1:10" ht="17" thickBot="1" x14ac:dyDescent="0.25">
      <c r="A73" s="248" t="s">
        <v>166</v>
      </c>
      <c r="B73" s="239">
        <f>B70+B71-B72</f>
        <v>4.2000000000000028</v>
      </c>
      <c r="C73" s="239">
        <f t="shared" ref="C73:H73" si="66">C70+C71-C72</f>
        <v>4.3198805333333681</v>
      </c>
      <c r="D73" s="239">
        <f t="shared" si="66"/>
        <v>4.3198805333333681</v>
      </c>
      <c r="E73" s="239">
        <f t="shared" si="66"/>
        <v>4.3198805333333681</v>
      </c>
      <c r="F73" s="239">
        <f t="shared" si="66"/>
        <v>4.3198805333333681</v>
      </c>
      <c r="G73" s="239">
        <f t="shared" si="66"/>
        <v>4.3198805333333681</v>
      </c>
      <c r="H73" s="239">
        <f t="shared" si="66"/>
        <v>4.3198805333333681</v>
      </c>
    </row>
    <row r="74" spans="1:10" ht="17" thickTop="1" x14ac:dyDescent="0.2">
      <c r="A74" s="241" t="s">
        <v>169</v>
      </c>
      <c r="B74" s="177"/>
      <c r="C74" s="177"/>
      <c r="D74" s="177"/>
      <c r="E74" s="177"/>
      <c r="F74" s="177"/>
      <c r="G74" s="177"/>
      <c r="H74" s="177"/>
    </row>
    <row r="75" spans="1:10" ht="34" x14ac:dyDescent="0.2">
      <c r="A75" s="240" t="s">
        <v>159</v>
      </c>
      <c r="B75" s="407" t="s">
        <v>96</v>
      </c>
      <c r="C75" s="407" t="s">
        <v>97</v>
      </c>
      <c r="D75" s="173" t="s">
        <v>98</v>
      </c>
      <c r="E75" s="173" t="s">
        <v>99</v>
      </c>
      <c r="F75" s="173" t="s">
        <v>100</v>
      </c>
      <c r="G75" s="173" t="s">
        <v>101</v>
      </c>
      <c r="H75" s="173" t="s">
        <v>102</v>
      </c>
    </row>
    <row r="76" spans="1:10" x14ac:dyDescent="0.2">
      <c r="A76" s="245" t="s">
        <v>164</v>
      </c>
      <c r="B76" s="249">
        <f>B61</f>
        <v>2059.2000000000003</v>
      </c>
      <c r="C76" s="249">
        <f t="shared" ref="C76:H76" si="67">C61</f>
        <v>2059.2502293317034</v>
      </c>
      <c r="D76" s="249">
        <f t="shared" si="67"/>
        <v>2059.2502293317034</v>
      </c>
      <c r="E76" s="249">
        <f t="shared" si="67"/>
        <v>2059.2502293317034</v>
      </c>
      <c r="F76" s="249">
        <f t="shared" si="67"/>
        <v>2059.2502293317034</v>
      </c>
      <c r="G76" s="249">
        <f t="shared" si="67"/>
        <v>2059.2502293317034</v>
      </c>
      <c r="H76" s="249">
        <f t="shared" si="67"/>
        <v>2059.2502293317034</v>
      </c>
    </row>
    <row r="77" spans="1:10" x14ac:dyDescent="0.2">
      <c r="A77" s="246" t="s">
        <v>170</v>
      </c>
      <c r="B77" s="255">
        <f t="shared" ref="B77:H77" si="68">BH24*10%</f>
        <v>1549.4949999999992</v>
      </c>
      <c r="C77" s="255">
        <f t="shared" si="68"/>
        <v>1567.5905999441607</v>
      </c>
      <c r="D77" s="255">
        <f t="shared" si="68"/>
        <v>1984.304394185541</v>
      </c>
      <c r="E77" s="255">
        <f t="shared" si="68"/>
        <v>2378.2450611510494</v>
      </c>
      <c r="F77" s="255">
        <f t="shared" si="68"/>
        <v>2634.7089450131248</v>
      </c>
      <c r="G77" s="255">
        <f t="shared" si="68"/>
        <v>2856.2812984613993</v>
      </c>
      <c r="H77" s="255">
        <f t="shared" si="68"/>
        <v>3066.2119872544968</v>
      </c>
      <c r="J77" s="234"/>
    </row>
    <row r="78" spans="1:10" ht="17" thickBot="1" x14ac:dyDescent="0.25">
      <c r="A78" s="256" t="s">
        <v>171</v>
      </c>
      <c r="B78" s="257">
        <f>B76+B77</f>
        <v>3608.6949999999997</v>
      </c>
      <c r="C78" s="257">
        <f t="shared" ref="C78:H78" si="69">C76+C77</f>
        <v>3626.8408292758641</v>
      </c>
      <c r="D78" s="257">
        <f t="shared" si="69"/>
        <v>4043.5546235172442</v>
      </c>
      <c r="E78" s="257">
        <f t="shared" si="69"/>
        <v>4437.4952904827533</v>
      </c>
      <c r="F78" s="257">
        <f t="shared" si="69"/>
        <v>4693.9591743448282</v>
      </c>
      <c r="G78" s="257">
        <f t="shared" si="69"/>
        <v>4915.5315277931022</v>
      </c>
      <c r="H78" s="257">
        <f t="shared" si="69"/>
        <v>5125.4622165862002</v>
      </c>
    </row>
    <row r="79" spans="1:10" ht="17" thickTop="1" x14ac:dyDescent="0.2">
      <c r="A79" s="240" t="s">
        <v>160</v>
      </c>
      <c r="B79" s="258"/>
      <c r="C79" s="259"/>
    </row>
    <row r="80" spans="1:10" x14ac:dyDescent="0.2">
      <c r="A80" s="245" t="s">
        <v>164</v>
      </c>
      <c r="B80" s="249">
        <f>B66</f>
        <v>2805.2000000000003</v>
      </c>
      <c r="C80" s="249">
        <f t="shared" ref="C80:H80" si="70">C66</f>
        <v>2805.2000000000003</v>
      </c>
      <c r="D80" s="249">
        <f t="shared" si="70"/>
        <v>2805.2000000000003</v>
      </c>
      <c r="E80" s="249">
        <f t="shared" si="70"/>
        <v>2805.2000000000003</v>
      </c>
      <c r="F80" s="249">
        <f t="shared" si="70"/>
        <v>2805.2000000000003</v>
      </c>
      <c r="G80" s="249">
        <f t="shared" si="70"/>
        <v>2805.2000000000003</v>
      </c>
      <c r="H80" s="249">
        <f t="shared" si="70"/>
        <v>2805.2000000000003</v>
      </c>
    </row>
    <row r="81" spans="1:11" x14ac:dyDescent="0.2">
      <c r="A81" s="246" t="s">
        <v>172</v>
      </c>
      <c r="B81" s="255">
        <f t="shared" ref="B81:H81" si="71">BP24*40%</f>
        <v>419.28000000000168</v>
      </c>
      <c r="C81" s="255">
        <f t="shared" si="71"/>
        <v>371.28000000000151</v>
      </c>
      <c r="D81" s="255">
        <f t="shared" si="71"/>
        <v>1474.7384999999931</v>
      </c>
      <c r="E81" s="255">
        <f t="shared" si="71"/>
        <v>3997.3370240000036</v>
      </c>
      <c r="F81" s="255">
        <f t="shared" si="71"/>
        <v>7116.7993840000017</v>
      </c>
      <c r="G81" s="255">
        <f t="shared" si="71"/>
        <v>9886.9467199999999</v>
      </c>
      <c r="H81" s="255">
        <f t="shared" si="71"/>
        <v>12028.250883999994</v>
      </c>
    </row>
    <row r="82" spans="1:11" ht="17" thickBot="1" x14ac:dyDescent="0.25">
      <c r="A82" s="256" t="s">
        <v>173</v>
      </c>
      <c r="B82" s="257">
        <f>B80+B81</f>
        <v>3224.4800000000018</v>
      </c>
      <c r="C82" s="257">
        <f t="shared" ref="C82:H82" si="72">C80+C81</f>
        <v>3176.4800000000018</v>
      </c>
      <c r="D82" s="257">
        <f t="shared" si="72"/>
        <v>4279.9384999999929</v>
      </c>
      <c r="E82" s="257">
        <f t="shared" si="72"/>
        <v>6802.5370240000038</v>
      </c>
      <c r="F82" s="257">
        <f t="shared" si="72"/>
        <v>9921.9993840000025</v>
      </c>
      <c r="G82" s="257">
        <f t="shared" si="72"/>
        <v>12692.146720000001</v>
      </c>
      <c r="H82" s="257">
        <f t="shared" si="72"/>
        <v>14833.450883999994</v>
      </c>
    </row>
    <row r="83" spans="1:11" ht="18" thickTop="1" thickBot="1" x14ac:dyDescent="0.25">
      <c r="A83" s="260" t="s">
        <v>174</v>
      </c>
      <c r="B83" s="261">
        <f>B78+B82</f>
        <v>6833.1750000000011</v>
      </c>
      <c r="C83" s="261">
        <f t="shared" ref="C83:H83" si="73">C78+C82</f>
        <v>6803.3208292758663</v>
      </c>
      <c r="D83" s="261">
        <f t="shared" si="73"/>
        <v>8323.4931235172371</v>
      </c>
      <c r="E83" s="261">
        <f t="shared" si="73"/>
        <v>11240.032314482756</v>
      </c>
      <c r="F83" s="261">
        <f t="shared" si="73"/>
        <v>14615.958558344832</v>
      </c>
      <c r="G83" s="261">
        <f t="shared" si="73"/>
        <v>17607.678247793105</v>
      </c>
      <c r="H83" s="261">
        <f t="shared" si="73"/>
        <v>19958.913100586193</v>
      </c>
    </row>
    <row r="84" spans="1:11" ht="17" thickTop="1" x14ac:dyDescent="0.2">
      <c r="A84" s="241" t="s">
        <v>175</v>
      </c>
    </row>
    <row r="85" spans="1:11" ht="34" x14ac:dyDescent="0.2">
      <c r="A85" s="264" t="s">
        <v>155</v>
      </c>
      <c r="B85" s="407" t="s">
        <v>96</v>
      </c>
      <c r="C85" s="407" t="s">
        <v>97</v>
      </c>
      <c r="D85" s="173" t="s">
        <v>98</v>
      </c>
      <c r="E85" s="173" t="s">
        <v>99</v>
      </c>
      <c r="F85" s="173" t="s">
        <v>100</v>
      </c>
      <c r="G85" s="173" t="s">
        <v>101</v>
      </c>
      <c r="H85" s="173" t="s">
        <v>102</v>
      </c>
      <c r="J85" s="276"/>
    </row>
    <row r="86" spans="1:11" ht="17" x14ac:dyDescent="0.2">
      <c r="A86" s="263" t="s">
        <v>176</v>
      </c>
      <c r="B86" s="265">
        <f>AZ22</f>
        <v>7440.8000000000075</v>
      </c>
      <c r="C86" s="265">
        <f t="shared" ref="C86:H86" si="74">BA22</f>
        <v>7997.3499999999885</v>
      </c>
      <c r="D86" s="265">
        <f t="shared" si="74"/>
        <v>9222.0234399998772</v>
      </c>
      <c r="E86" s="265">
        <f t="shared" si="74"/>
        <v>10484.460160000022</v>
      </c>
      <c r="F86" s="265">
        <f t="shared" si="74"/>
        <v>11634.883669999979</v>
      </c>
      <c r="G86" s="265">
        <f t="shared" si="74"/>
        <v>11717.250059999989</v>
      </c>
      <c r="H86" s="265">
        <f t="shared" si="74"/>
        <v>11956.438219999953</v>
      </c>
      <c r="J86" s="221"/>
    </row>
    <row r="87" spans="1:11" ht="17" x14ac:dyDescent="0.2">
      <c r="A87" s="264" t="s">
        <v>159</v>
      </c>
      <c r="B87" s="267"/>
      <c r="C87" s="268"/>
      <c r="D87" s="269"/>
      <c r="E87" s="266"/>
      <c r="F87" s="266"/>
      <c r="G87" s="266"/>
      <c r="H87" s="266"/>
    </row>
    <row r="88" spans="1:11" ht="17" x14ac:dyDescent="0.2">
      <c r="A88" s="263" t="s">
        <v>177</v>
      </c>
      <c r="B88" s="267">
        <f t="shared" ref="B88:H88" si="75">BH24*90%</f>
        <v>13945.454999999993</v>
      </c>
      <c r="C88" s="267">
        <f t="shared" si="75"/>
        <v>14108.315399497445</v>
      </c>
      <c r="D88" s="267">
        <f t="shared" si="75"/>
        <v>17858.739547669869</v>
      </c>
      <c r="E88" s="267">
        <f t="shared" si="75"/>
        <v>21404.205550359442</v>
      </c>
      <c r="F88" s="267">
        <f t="shared" si="75"/>
        <v>23712.380505118123</v>
      </c>
      <c r="G88" s="267">
        <f t="shared" si="75"/>
        <v>25706.53168615259</v>
      </c>
      <c r="H88" s="267">
        <f t="shared" si="75"/>
        <v>27595.907885290468</v>
      </c>
    </row>
    <row r="89" spans="1:11" ht="17" x14ac:dyDescent="0.2">
      <c r="A89" s="264" t="s">
        <v>160</v>
      </c>
      <c r="B89" s="267"/>
      <c r="C89" s="268"/>
      <c r="D89" s="269"/>
      <c r="E89" s="266"/>
      <c r="F89" s="266"/>
      <c r="G89" s="266"/>
      <c r="H89" s="266"/>
    </row>
    <row r="90" spans="1:11" ht="17" x14ac:dyDescent="0.2">
      <c r="A90" s="263" t="s">
        <v>178</v>
      </c>
      <c r="B90" s="267">
        <f t="shared" ref="B90:H90" si="76">BP24*60%</f>
        <v>628.92000000000246</v>
      </c>
      <c r="C90" s="267">
        <f t="shared" si="76"/>
        <v>556.92000000000223</v>
      </c>
      <c r="D90" s="267">
        <f t="shared" si="76"/>
        <v>2212.1077499999897</v>
      </c>
      <c r="E90" s="267">
        <f t="shared" si="76"/>
        <v>5996.0055360000051</v>
      </c>
      <c r="F90" s="267">
        <f t="shared" si="76"/>
        <v>10675.199076000001</v>
      </c>
      <c r="G90" s="267">
        <f t="shared" si="76"/>
        <v>14830.42008</v>
      </c>
      <c r="H90" s="267">
        <f t="shared" si="76"/>
        <v>18042.376325999991</v>
      </c>
    </row>
    <row r="91" spans="1:11" ht="17" x14ac:dyDescent="0.2">
      <c r="A91" s="264" t="s">
        <v>161</v>
      </c>
      <c r="B91" s="267"/>
      <c r="C91" s="268"/>
      <c r="D91" s="269"/>
      <c r="E91" s="266"/>
      <c r="F91" s="266"/>
      <c r="G91" s="266"/>
      <c r="H91" s="266"/>
    </row>
    <row r="92" spans="1:11" ht="17" x14ac:dyDescent="0.2">
      <c r="A92" s="263" t="s">
        <v>179</v>
      </c>
      <c r="B92" s="267">
        <f t="shared" ref="B92:H92" si="77">BX24*30%</f>
        <v>677.92499999999995</v>
      </c>
      <c r="C92" s="267">
        <f t="shared" si="77"/>
        <v>607.32721053333523</v>
      </c>
      <c r="D92" s="267">
        <f t="shared" si="77"/>
        <v>1095.6140205333356</v>
      </c>
      <c r="E92" s="267">
        <f t="shared" si="77"/>
        <v>1745.0355705333322</v>
      </c>
      <c r="F92" s="267">
        <f t="shared" si="77"/>
        <v>2579.8506105333354</v>
      </c>
      <c r="G92" s="267">
        <f t="shared" si="77"/>
        <v>3627.4874205333354</v>
      </c>
      <c r="H92" s="267">
        <f t="shared" si="77"/>
        <v>4618.940320533331</v>
      </c>
    </row>
    <row r="93" spans="1:11" ht="17" thickBot="1" x14ac:dyDescent="0.25">
      <c r="A93" s="262" t="s">
        <v>180</v>
      </c>
      <c r="B93" s="356">
        <f>B86+B88+B90+B92</f>
        <v>22693.100000000002</v>
      </c>
      <c r="C93" s="356">
        <f t="shared" ref="C93:H93" si="78">C86+C88+C90+C92</f>
        <v>23269.912610030769</v>
      </c>
      <c r="D93" s="356">
        <f t="shared" si="78"/>
        <v>30388.484758203071</v>
      </c>
      <c r="E93" s="356">
        <f t="shared" si="78"/>
        <v>39629.706816892802</v>
      </c>
      <c r="F93" s="356">
        <f t="shared" si="78"/>
        <v>48602.313861651433</v>
      </c>
      <c r="G93" s="356">
        <f t="shared" si="78"/>
        <v>55881.689246685914</v>
      </c>
      <c r="H93" s="356">
        <f t="shared" si="78"/>
        <v>62213.662751823736</v>
      </c>
      <c r="J93" s="273"/>
    </row>
    <row r="94" spans="1:11" ht="17" thickTop="1" x14ac:dyDescent="0.2">
      <c r="A94" s="236" t="s">
        <v>181</v>
      </c>
      <c r="B94" s="242"/>
      <c r="C94" s="242"/>
      <c r="D94" s="243"/>
      <c r="K94" s="273"/>
    </row>
    <row r="95" spans="1:11" ht="34" x14ac:dyDescent="0.2">
      <c r="A95" s="274"/>
      <c r="B95" s="407" t="s">
        <v>96</v>
      </c>
      <c r="C95" s="407" t="s">
        <v>97</v>
      </c>
      <c r="D95" s="173" t="s">
        <v>98</v>
      </c>
      <c r="E95" s="173" t="s">
        <v>99</v>
      </c>
      <c r="F95" s="173" t="s">
        <v>100</v>
      </c>
      <c r="G95" s="173" t="s">
        <v>101</v>
      </c>
      <c r="H95" s="173" t="s">
        <v>102</v>
      </c>
    </row>
    <row r="96" spans="1:11" x14ac:dyDescent="0.2">
      <c r="A96" s="245" t="s">
        <v>182</v>
      </c>
      <c r="B96" s="354">
        <f t="shared" ref="B96:H96" si="79">B70</f>
        <v>15</v>
      </c>
      <c r="C96" s="354">
        <f t="shared" si="79"/>
        <v>15</v>
      </c>
      <c r="D96" s="354">
        <f t="shared" si="79"/>
        <v>15</v>
      </c>
      <c r="E96" s="354">
        <f t="shared" si="79"/>
        <v>15</v>
      </c>
      <c r="F96" s="354">
        <f t="shared" si="79"/>
        <v>15</v>
      </c>
      <c r="G96" s="354">
        <f t="shared" si="79"/>
        <v>15</v>
      </c>
      <c r="H96" s="354">
        <f t="shared" si="79"/>
        <v>15</v>
      </c>
    </row>
    <row r="97" spans="1:8" x14ac:dyDescent="0.2">
      <c r="A97" s="245" t="s">
        <v>183</v>
      </c>
      <c r="B97" s="355">
        <f>B60</f>
        <v>2000</v>
      </c>
      <c r="C97" s="355">
        <f t="shared" ref="C97:H97" si="80">C60</f>
        <v>2000</v>
      </c>
      <c r="D97" s="355">
        <f t="shared" si="80"/>
        <v>2000</v>
      </c>
      <c r="E97" s="355">
        <f t="shared" si="80"/>
        <v>2000</v>
      </c>
      <c r="F97" s="355">
        <f t="shared" si="80"/>
        <v>2000</v>
      </c>
      <c r="G97" s="355">
        <f t="shared" si="80"/>
        <v>2000</v>
      </c>
      <c r="H97" s="355">
        <f t="shared" si="80"/>
        <v>2000</v>
      </c>
    </row>
    <row r="98" spans="1:8" x14ac:dyDescent="0.2">
      <c r="A98" s="245" t="s">
        <v>184</v>
      </c>
      <c r="B98" s="355">
        <f>B65</f>
        <v>1500</v>
      </c>
      <c r="C98" s="355">
        <f t="shared" ref="C98:H98" si="81">C65</f>
        <v>1500</v>
      </c>
      <c r="D98" s="355">
        <f t="shared" si="81"/>
        <v>1500</v>
      </c>
      <c r="E98" s="355">
        <f t="shared" si="81"/>
        <v>1500</v>
      </c>
      <c r="F98" s="355">
        <f t="shared" si="81"/>
        <v>1500</v>
      </c>
      <c r="G98" s="355">
        <f t="shared" si="81"/>
        <v>1500</v>
      </c>
      <c r="H98" s="355">
        <f t="shared" si="81"/>
        <v>1500</v>
      </c>
    </row>
    <row r="99" spans="1:8" ht="17" thickBot="1" x14ac:dyDescent="0.25">
      <c r="A99" s="275" t="s">
        <v>185</v>
      </c>
      <c r="B99" s="277">
        <f>(BX20+BX22)*0.3+B73</f>
        <v>692.92500000000007</v>
      </c>
      <c r="C99" s="277">
        <f t="shared" ref="C99:H99" si="82">(BY20+BY22)*0.3+C73</f>
        <v>622.32721053333535</v>
      </c>
      <c r="D99" s="277">
        <f t="shared" si="82"/>
        <v>1110.6140205333359</v>
      </c>
      <c r="E99" s="277">
        <f t="shared" si="82"/>
        <v>1760.0355705333322</v>
      </c>
      <c r="F99" s="277">
        <f t="shared" si="82"/>
        <v>2594.8506105333349</v>
      </c>
      <c r="G99" s="277">
        <f t="shared" si="82"/>
        <v>3642.4874205333349</v>
      </c>
      <c r="H99" s="277">
        <f t="shared" si="82"/>
        <v>4633.9403205333301</v>
      </c>
    </row>
    <row r="100" spans="1:8" ht="17" thickTop="1" x14ac:dyDescent="0.2"/>
  </sheetData>
  <mergeCells count="5">
    <mergeCell ref="BX1:CD1"/>
    <mergeCell ref="B1:AX1"/>
    <mergeCell ref="AZ1:BF1"/>
    <mergeCell ref="BH1:BN1"/>
    <mergeCell ref="BP1:B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7565-E7E9-324B-8A73-43881EDE40E2}">
  <dimension ref="A1:R36"/>
  <sheetViews>
    <sheetView zoomScaleNormal="100" workbookViewId="0">
      <selection activeCell="E36" sqref="E36"/>
    </sheetView>
  </sheetViews>
  <sheetFormatPr baseColWidth="10" defaultColWidth="10.83203125" defaultRowHeight="15" x14ac:dyDescent="0.2"/>
  <cols>
    <col min="1" max="1" width="48.83203125" customWidth="1"/>
    <col min="11" max="11" width="49" customWidth="1"/>
  </cols>
  <sheetData>
    <row r="1" spans="1:18" ht="16" x14ac:dyDescent="0.2">
      <c r="A1" s="168" t="s">
        <v>40</v>
      </c>
      <c r="B1" s="410" t="s">
        <v>132</v>
      </c>
      <c r="C1" s="411"/>
      <c r="D1" s="411"/>
      <c r="E1" s="411"/>
      <c r="F1" s="411"/>
      <c r="G1" s="411"/>
      <c r="H1" s="411"/>
      <c r="K1" s="168" t="s">
        <v>95</v>
      </c>
      <c r="L1" s="411" t="s">
        <v>132</v>
      </c>
      <c r="M1" s="411"/>
      <c r="N1" s="411"/>
      <c r="O1" s="411"/>
      <c r="P1" s="411"/>
      <c r="Q1" s="411"/>
      <c r="R1" s="411"/>
    </row>
    <row r="2" spans="1:18" ht="34" customHeight="1" x14ac:dyDescent="0.2">
      <c r="A2" s="171"/>
      <c r="B2" s="407" t="s">
        <v>26</v>
      </c>
      <c r="C2" s="407" t="s">
        <v>5</v>
      </c>
      <c r="D2" s="407">
        <v>2026</v>
      </c>
      <c r="E2" s="407">
        <v>2027</v>
      </c>
      <c r="F2" s="407">
        <v>2028</v>
      </c>
      <c r="G2" s="407">
        <v>2029</v>
      </c>
      <c r="H2" s="407">
        <v>2030</v>
      </c>
      <c r="K2" s="168"/>
      <c r="L2" s="407" t="s">
        <v>26</v>
      </c>
      <c r="M2" s="407" t="s">
        <v>5</v>
      </c>
      <c r="N2" s="407">
        <v>2026</v>
      </c>
      <c r="O2" s="407">
        <v>2027</v>
      </c>
      <c r="P2" s="407">
        <v>2028</v>
      </c>
      <c r="Q2" s="407">
        <v>2029</v>
      </c>
      <c r="R2" s="407">
        <v>2030</v>
      </c>
    </row>
    <row r="3" spans="1:18" ht="17" thickBot="1" x14ac:dyDescent="0.25">
      <c r="A3" s="174" t="s">
        <v>41</v>
      </c>
      <c r="B3" s="175">
        <v>115131</v>
      </c>
      <c r="C3" s="175">
        <v>116763.02786206896</v>
      </c>
      <c r="D3" s="228">
        <v>137509.16754142527</v>
      </c>
      <c r="E3" s="228">
        <v>163226.34643432734</v>
      </c>
      <c r="F3" s="228">
        <v>195015.32982059082</v>
      </c>
      <c r="G3" s="228">
        <v>235724.94828065726</v>
      </c>
      <c r="H3" s="228">
        <v>287125.81092581822</v>
      </c>
      <c r="K3" s="209" t="s">
        <v>103</v>
      </c>
      <c r="L3" s="280">
        <v>133757.875</v>
      </c>
      <c r="M3" s="281">
        <v>131344.51822313861</v>
      </c>
      <c r="N3" s="281">
        <v>140159.10748735385</v>
      </c>
      <c r="O3" s="281">
        <v>154951.44804838515</v>
      </c>
      <c r="P3" s="281">
        <v>170707.99858195509</v>
      </c>
      <c r="Q3" s="281">
        <v>184451.18261682644</v>
      </c>
      <c r="R3" s="281">
        <v>196203.68884078128</v>
      </c>
    </row>
    <row r="4" spans="1:18" ht="16" x14ac:dyDescent="0.2">
      <c r="A4" s="182" t="s">
        <v>42</v>
      </c>
      <c r="B4" s="183">
        <v>51318</v>
      </c>
      <c r="C4" s="183">
        <v>51370</v>
      </c>
      <c r="D4" s="183">
        <v>59184.83706666666</v>
      </c>
      <c r="E4" s="176">
        <v>68187.591733066656</v>
      </c>
      <c r="F4" s="176">
        <v>78558.722344759066</v>
      </c>
      <c r="G4" s="176">
        <v>90506.103983196241</v>
      </c>
      <c r="H4" s="176">
        <v>104269.19436319852</v>
      </c>
      <c r="K4" s="211" t="s">
        <v>104</v>
      </c>
      <c r="L4" s="210">
        <v>98313.725000000006</v>
      </c>
      <c r="M4" s="210">
        <v>101225.42444199928</v>
      </c>
      <c r="N4" s="210">
        <v>97228.420833734286</v>
      </c>
      <c r="O4" s="210">
        <v>93148.475592464703</v>
      </c>
      <c r="P4" s="210">
        <v>88996.520713675287</v>
      </c>
      <c r="Q4" s="210">
        <v>84785.927626612465</v>
      </c>
      <c r="R4" s="210">
        <v>80232.863572931776</v>
      </c>
    </row>
    <row r="5" spans="1:18" ht="16" x14ac:dyDescent="0.2">
      <c r="A5" s="182" t="s">
        <v>43</v>
      </c>
      <c r="B5" s="183">
        <v>26290</v>
      </c>
      <c r="C5" s="183">
        <v>26879.768110344827</v>
      </c>
      <c r="D5" s="183">
        <v>31825.926370206893</v>
      </c>
      <c r="E5" s="176">
        <v>37792.19311684413</v>
      </c>
      <c r="F5" s="176">
        <v>44832.38787787607</v>
      </c>
      <c r="G5" s="176">
        <v>53139.817695893762</v>
      </c>
      <c r="H5" s="176">
        <v>62942.584881154638</v>
      </c>
      <c r="K5" s="212" t="s">
        <v>105</v>
      </c>
      <c r="L5" s="210">
        <v>47888.800000000003</v>
      </c>
      <c r="M5" s="210">
        <v>47551.903448275865</v>
      </c>
      <c r="N5" s="210">
        <v>45842.690403019478</v>
      </c>
      <c r="O5" s="210">
        <v>43698.147460139007</v>
      </c>
      <c r="P5" s="210">
        <v>41281.945834823047</v>
      </c>
      <c r="Q5" s="210">
        <v>38850.514177413315</v>
      </c>
      <c r="R5" s="210">
        <v>36603.729384847546</v>
      </c>
    </row>
    <row r="6" spans="1:18" ht="16" x14ac:dyDescent="0.2">
      <c r="A6" s="182" t="s">
        <v>44</v>
      </c>
      <c r="B6" s="183">
        <v>13823</v>
      </c>
      <c r="C6" s="183">
        <v>13948.259751724137</v>
      </c>
      <c r="D6" s="183">
        <v>16701.059104551721</v>
      </c>
      <c r="E6" s="176">
        <v>19999.880334416546</v>
      </c>
      <c r="F6" s="176">
        <v>23948.467597955689</v>
      </c>
      <c r="G6" s="176">
        <v>28670.276441567268</v>
      </c>
      <c r="H6" s="176">
        <v>34312.21896546505</v>
      </c>
      <c r="K6" s="212" t="s">
        <v>106</v>
      </c>
      <c r="L6" s="210">
        <v>48090</v>
      </c>
      <c r="M6" s="210">
        <v>51423.193783190072</v>
      </c>
      <c r="N6" s="210">
        <v>48047.116410181472</v>
      </c>
      <c r="O6" s="210">
        <v>45462.292561792361</v>
      </c>
      <c r="P6" s="210">
        <v>42891.724268318903</v>
      </c>
      <c r="Q6" s="210">
        <v>40064.926028665817</v>
      </c>
      <c r="R6" s="210">
        <v>36767.193867550901</v>
      </c>
    </row>
    <row r="7" spans="1:18" ht="16" x14ac:dyDescent="0.2">
      <c r="A7" s="182" t="s">
        <v>45</v>
      </c>
      <c r="B7" s="183">
        <v>23700</v>
      </c>
      <c r="C7" s="183">
        <v>24565</v>
      </c>
      <c r="D7" s="183">
        <v>29797.345000000001</v>
      </c>
      <c r="E7" s="176">
        <v>37246.681250000001</v>
      </c>
      <c r="F7" s="176">
        <v>47675.752</v>
      </c>
      <c r="G7" s="176">
        <v>63408.750160000003</v>
      </c>
      <c r="H7" s="176">
        <v>85601.812716000015</v>
      </c>
      <c r="K7" s="212" t="s">
        <v>107</v>
      </c>
      <c r="L7" s="210">
        <v>1642</v>
      </c>
      <c r="M7" s="210">
        <v>1628</v>
      </c>
      <c r="N7" s="210">
        <v>2228</v>
      </c>
      <c r="O7" s="210">
        <v>2228</v>
      </c>
      <c r="P7" s="210">
        <v>2228</v>
      </c>
      <c r="Q7" s="210">
        <v>2228</v>
      </c>
      <c r="R7" s="210">
        <v>2228</v>
      </c>
    </row>
    <row r="8" spans="1:18" ht="16" x14ac:dyDescent="0.2">
      <c r="A8" s="182" t="s">
        <v>46</v>
      </c>
      <c r="B8" s="183">
        <v>0</v>
      </c>
      <c r="C8" s="183">
        <v>0</v>
      </c>
      <c r="D8" s="183">
        <v>0</v>
      </c>
      <c r="E8" s="176">
        <v>0</v>
      </c>
      <c r="F8" s="176">
        <v>0</v>
      </c>
      <c r="G8" s="176">
        <v>0</v>
      </c>
      <c r="H8" s="176">
        <v>0</v>
      </c>
      <c r="K8" s="212" t="s">
        <v>108</v>
      </c>
      <c r="L8" s="210">
        <v>692.92499999999995</v>
      </c>
      <c r="M8" s="210">
        <v>622.32721053333523</v>
      </c>
      <c r="N8" s="210">
        <v>1110.6140205333356</v>
      </c>
      <c r="O8" s="210">
        <v>1760.0355705333322</v>
      </c>
      <c r="P8" s="210">
        <v>2594.8506105333354</v>
      </c>
      <c r="Q8" s="210">
        <v>3642.4874205333354</v>
      </c>
      <c r="R8" s="210">
        <v>4633.940320533331</v>
      </c>
    </row>
    <row r="9" spans="1:18" ht="16" x14ac:dyDescent="0.2">
      <c r="A9" s="174" t="s">
        <v>47</v>
      </c>
      <c r="B9" s="175">
        <v>50290</v>
      </c>
      <c r="C9" s="175">
        <v>50750.063095172409</v>
      </c>
      <c r="D9" s="228">
        <v>57356.908370753823</v>
      </c>
      <c r="E9" s="228">
        <v>64843.676240095767</v>
      </c>
      <c r="F9" s="228">
        <v>73210.955546752608</v>
      </c>
      <c r="G9" s="228">
        <v>82588.037132381214</v>
      </c>
      <c r="H9" s="228">
        <v>93126.421244289842</v>
      </c>
      <c r="K9" s="213" t="s">
        <v>109</v>
      </c>
      <c r="L9" s="221">
        <v>0</v>
      </c>
      <c r="M9" s="221">
        <v>0</v>
      </c>
      <c r="N9" s="221">
        <v>0</v>
      </c>
      <c r="O9" s="221">
        <v>0</v>
      </c>
      <c r="P9" s="221">
        <v>0</v>
      </c>
      <c r="Q9" s="221">
        <v>0</v>
      </c>
      <c r="R9" s="221">
        <v>0</v>
      </c>
    </row>
    <row r="10" spans="1:18" ht="16" x14ac:dyDescent="0.2">
      <c r="A10" s="182" t="s">
        <v>48</v>
      </c>
      <c r="B10" s="183">
        <v>41960</v>
      </c>
      <c r="C10" s="183">
        <v>42144.561665495843</v>
      </c>
      <c r="D10" s="183">
        <v>47630.463718320214</v>
      </c>
      <c r="E10" s="176">
        <v>53668.304147248251</v>
      </c>
      <c r="F10" s="176">
        <v>60323.626892786284</v>
      </c>
      <c r="G10" s="176">
        <v>67670.772677562083</v>
      </c>
      <c r="H10" s="176">
        <v>75794.136435105713</v>
      </c>
      <c r="K10" s="213" t="s">
        <v>110</v>
      </c>
      <c r="L10" s="221">
        <v>0</v>
      </c>
      <c r="M10" s="221">
        <v>0</v>
      </c>
      <c r="N10" s="221">
        <v>0</v>
      </c>
      <c r="O10" s="221">
        <v>0</v>
      </c>
      <c r="P10" s="221">
        <v>0</v>
      </c>
      <c r="Q10" s="221">
        <v>0</v>
      </c>
      <c r="R10" s="221">
        <v>0</v>
      </c>
    </row>
    <row r="11" spans="1:18" ht="16" x14ac:dyDescent="0.2">
      <c r="A11" s="182" t="s">
        <v>49</v>
      </c>
      <c r="B11" s="183">
        <v>6640</v>
      </c>
      <c r="C11" s="183">
        <v>6977.7895979251898</v>
      </c>
      <c r="D11" s="183">
        <v>8009.5554822897939</v>
      </c>
      <c r="E11" s="176">
        <v>9364.412171317379</v>
      </c>
      <c r="F11" s="176">
        <v>10977.13563737219</v>
      </c>
      <c r="G11" s="176">
        <v>12902.392266363502</v>
      </c>
      <c r="H11" s="176">
        <v>15206.988020521178</v>
      </c>
      <c r="K11" s="213" t="s">
        <v>111</v>
      </c>
      <c r="L11" s="221">
        <v>692.92499999999995</v>
      </c>
      <c r="M11" s="221">
        <v>622.32721053333523</v>
      </c>
      <c r="N11" s="221">
        <v>1110.6140205333356</v>
      </c>
      <c r="O11" s="221">
        <v>1760.0355705333322</v>
      </c>
      <c r="P11" s="221">
        <v>2594.8506105333354</v>
      </c>
      <c r="Q11" s="221">
        <v>3642.4874205333354</v>
      </c>
      <c r="R11" s="221">
        <v>4633.940320533331</v>
      </c>
    </row>
    <row r="12" spans="1:18" ht="16" x14ac:dyDescent="0.2">
      <c r="A12" s="182" t="s">
        <v>50</v>
      </c>
      <c r="B12" s="183">
        <v>1690</v>
      </c>
      <c r="C12" s="183">
        <v>1627.7118317513766</v>
      </c>
      <c r="D12" s="183">
        <v>1716.8891701438101</v>
      </c>
      <c r="E12" s="176">
        <v>1810.9599215301325</v>
      </c>
      <c r="F12" s="176">
        <v>1910.1930165941233</v>
      </c>
      <c r="G12" s="176">
        <v>2014.8721884556253</v>
      </c>
      <c r="H12" s="176">
        <v>2125.2967886629513</v>
      </c>
      <c r="K12" s="214"/>
      <c r="L12" s="210"/>
      <c r="M12" s="196"/>
      <c r="N12" s="221"/>
      <c r="O12" s="196"/>
      <c r="P12" s="196"/>
      <c r="Q12" s="196"/>
      <c r="R12" s="196"/>
    </row>
    <row r="13" spans="1:18" ht="16" x14ac:dyDescent="0.2">
      <c r="A13" s="174" t="s">
        <v>51</v>
      </c>
      <c r="B13" s="175">
        <v>64841</v>
      </c>
      <c r="C13" s="175">
        <v>66012.964766896563</v>
      </c>
      <c r="D13" s="228">
        <v>80152.259170671445</v>
      </c>
      <c r="E13" s="228">
        <v>98382.67019423157</v>
      </c>
      <c r="F13" s="228">
        <v>121804.37427383821</v>
      </c>
      <c r="G13" s="228">
        <v>153136.91114827606</v>
      </c>
      <c r="H13" s="228">
        <v>193999.38968152838</v>
      </c>
      <c r="K13" s="215" t="s">
        <v>112</v>
      </c>
      <c r="L13" s="210">
        <v>35444.149999999994</v>
      </c>
      <c r="M13" s="210">
        <v>30119.093781139334</v>
      </c>
      <c r="N13" s="210">
        <v>42930.686653619545</v>
      </c>
      <c r="O13" s="210">
        <v>61802.972455920448</v>
      </c>
      <c r="P13" s="210">
        <v>81711.477868279791</v>
      </c>
      <c r="Q13" s="210">
        <v>99665.254990213958</v>
      </c>
      <c r="R13" s="210">
        <v>115970.82526784949</v>
      </c>
    </row>
    <row r="14" spans="1:18" ht="16" x14ac:dyDescent="0.2">
      <c r="A14" s="174" t="s">
        <v>52</v>
      </c>
      <c r="B14" s="175">
        <v>38032</v>
      </c>
      <c r="C14" s="175">
        <v>38479.669027310345</v>
      </c>
      <c r="D14" s="228">
        <v>41615.091277448984</v>
      </c>
      <c r="E14" s="228">
        <v>44770.25233514826</v>
      </c>
      <c r="F14" s="228">
        <v>48203.285199579106</v>
      </c>
      <c r="G14" s="228">
        <v>51942.289843018181</v>
      </c>
      <c r="H14" s="228">
        <v>56200.830141321152</v>
      </c>
      <c r="K14" s="211" t="s">
        <v>113</v>
      </c>
      <c r="L14" s="221">
        <v>7500</v>
      </c>
      <c r="M14" s="210">
        <v>7599.7853219906201</v>
      </c>
      <c r="N14" s="210">
        <v>7592.5170599833036</v>
      </c>
      <c r="O14" s="210">
        <v>7588.2038395270956</v>
      </c>
      <c r="P14" s="210">
        <v>7586.7909480972321</v>
      </c>
      <c r="Q14" s="210">
        <v>7588.2257353848372</v>
      </c>
      <c r="R14" s="210">
        <v>7592.4575566488729</v>
      </c>
    </row>
    <row r="15" spans="1:18" ht="16" x14ac:dyDescent="0.2">
      <c r="A15" s="182" t="s">
        <v>53</v>
      </c>
      <c r="B15" s="183">
        <v>14623</v>
      </c>
      <c r="C15" s="183">
        <v>14650.085068708046</v>
      </c>
      <c r="D15" s="183">
        <v>15595.929356850942</v>
      </c>
      <c r="E15" s="176">
        <v>16604.309645163845</v>
      </c>
      <c r="F15" s="176">
        <v>17679.336867658647</v>
      </c>
      <c r="G15" s="176">
        <v>18825.393728568088</v>
      </c>
      <c r="H15" s="176">
        <v>20047.15276655159</v>
      </c>
      <c r="K15" s="216" t="s">
        <v>114</v>
      </c>
      <c r="L15" s="221">
        <v>27944.149999999998</v>
      </c>
      <c r="M15" s="210">
        <v>22519.30845914871</v>
      </c>
      <c r="N15" s="210">
        <v>35338.169593636245</v>
      </c>
      <c r="O15" s="210">
        <v>54214.768616393347</v>
      </c>
      <c r="P15" s="210">
        <v>74124.686920182547</v>
      </c>
      <c r="Q15" s="210">
        <v>92077.029254829133</v>
      </c>
      <c r="R15" s="210">
        <v>108378.36771120061</v>
      </c>
    </row>
    <row r="16" spans="1:18" ht="16" x14ac:dyDescent="0.2">
      <c r="A16" s="182" t="s">
        <v>54</v>
      </c>
      <c r="B16" s="183">
        <v>2191</v>
      </c>
      <c r="C16" s="183">
        <v>2190.7038348505748</v>
      </c>
      <c r="D16" s="183">
        <v>2309.6183791006897</v>
      </c>
      <c r="E16" s="176">
        <v>2435.0219649512273</v>
      </c>
      <c r="F16" s="176">
        <v>2567.270573773545</v>
      </c>
      <c r="G16" s="176">
        <v>2706.7398189385904</v>
      </c>
      <c r="H16" s="176">
        <v>2853.8260341572877</v>
      </c>
      <c r="K16" s="214"/>
      <c r="L16" s="210"/>
      <c r="M16" s="196"/>
      <c r="N16" s="196"/>
      <c r="O16" s="210"/>
      <c r="P16" s="196"/>
      <c r="Q16" s="196"/>
      <c r="R16" s="196"/>
    </row>
    <row r="17" spans="1:18" ht="17" thickBot="1" x14ac:dyDescent="0.25">
      <c r="A17" s="182" t="s">
        <v>55</v>
      </c>
      <c r="B17" s="183">
        <v>15000</v>
      </c>
      <c r="C17" s="183">
        <v>15338.189430068967</v>
      </c>
      <c r="D17" s="183">
        <v>17073.349859662037</v>
      </c>
      <c r="E17" s="176">
        <v>18740.989440696936</v>
      </c>
      <c r="F17" s="176">
        <v>20593.793858672176</v>
      </c>
      <c r="G17" s="176">
        <v>22654.071362020648</v>
      </c>
      <c r="H17" s="176">
        <v>25129.227657617972</v>
      </c>
      <c r="K17" s="209" t="s">
        <v>115</v>
      </c>
      <c r="L17" s="280">
        <v>133757.875</v>
      </c>
      <c r="M17" s="281">
        <v>131344.51822053333</v>
      </c>
      <c r="N17" s="281">
        <v>140159.10749053321</v>
      </c>
      <c r="O17" s="281">
        <v>154951.4480505333</v>
      </c>
      <c r="P17" s="281">
        <v>170707.99858053331</v>
      </c>
      <c r="Q17" s="281">
        <v>184451.18262053333</v>
      </c>
      <c r="R17" s="281">
        <v>196203.68884053317</v>
      </c>
    </row>
    <row r="18" spans="1:18" ht="16" x14ac:dyDescent="0.2">
      <c r="A18" s="182" t="s">
        <v>49</v>
      </c>
      <c r="B18" s="183">
        <v>4850</v>
      </c>
      <c r="C18" s="183">
        <v>4910.7410030344827</v>
      </c>
      <c r="D18" s="183">
        <v>5174.2967582013789</v>
      </c>
      <c r="E18" s="176">
        <v>5452.0725299024562</v>
      </c>
      <c r="F18" s="176">
        <v>5744.8397135470905</v>
      </c>
      <c r="G18" s="176">
        <v>6053.411780337181</v>
      </c>
      <c r="H18" s="176">
        <v>6378.6465849471751</v>
      </c>
      <c r="K18" s="211" t="s">
        <v>116</v>
      </c>
      <c r="L18" s="210">
        <v>103497.875</v>
      </c>
      <c r="M18" s="210">
        <v>104042.76826191264</v>
      </c>
      <c r="N18" s="210">
        <v>112681.51270432632</v>
      </c>
      <c r="O18" s="210">
        <v>124839.27395398157</v>
      </c>
      <c r="P18" s="210">
        <v>137187.80724260228</v>
      </c>
      <c r="Q18" s="210">
        <v>147458.90231708504</v>
      </c>
      <c r="R18" s="210">
        <v>156142.11067501592</v>
      </c>
    </row>
    <row r="19" spans="1:18" ht="16" x14ac:dyDescent="0.2">
      <c r="A19" s="182" t="s">
        <v>50</v>
      </c>
      <c r="B19" s="183">
        <v>1368</v>
      </c>
      <c r="C19" s="183">
        <v>1389.9496906482752</v>
      </c>
      <c r="D19" s="183">
        <v>1461.8969236339306</v>
      </c>
      <c r="E19" s="176">
        <v>1537.8587544337965</v>
      </c>
      <c r="F19" s="176">
        <v>1618.0441859276555</v>
      </c>
      <c r="G19" s="176">
        <v>1702.6731531536768</v>
      </c>
      <c r="H19" s="176">
        <v>1791.9770980471287</v>
      </c>
      <c r="K19" s="212" t="s">
        <v>117</v>
      </c>
      <c r="L19" s="210">
        <v>103497.875</v>
      </c>
      <c r="M19" s="210">
        <v>104042.76826191264</v>
      </c>
      <c r="N19" s="210">
        <v>112681.51270432632</v>
      </c>
      <c r="O19" s="210">
        <v>124839.27395398157</v>
      </c>
      <c r="P19" s="210">
        <v>137187.80724260228</v>
      </c>
      <c r="Q19" s="210">
        <v>147458.90231708504</v>
      </c>
      <c r="R19" s="210">
        <v>156142.11067501592</v>
      </c>
    </row>
    <row r="20" spans="1:18" ht="16" x14ac:dyDescent="0.2">
      <c r="A20" s="174" t="s">
        <v>56</v>
      </c>
      <c r="B20" s="175">
        <v>26809</v>
      </c>
      <c r="C20" s="175">
        <v>27533.295739586218</v>
      </c>
      <c r="D20" s="228">
        <v>38537.16789322246</v>
      </c>
      <c r="E20" s="228">
        <v>53612.417859083311</v>
      </c>
      <c r="F20" s="228">
        <v>73601.0890742591</v>
      </c>
      <c r="G20" s="228">
        <v>101194.62130525788</v>
      </c>
      <c r="H20" s="228">
        <v>137798.55954020724</v>
      </c>
      <c r="K20" s="213" t="s">
        <v>118</v>
      </c>
      <c r="L20" s="221">
        <v>30001</v>
      </c>
      <c r="M20" s="221">
        <v>30000.999999999996</v>
      </c>
      <c r="N20" s="221">
        <v>30000.999999999996</v>
      </c>
      <c r="O20" s="221">
        <v>30000.999999999996</v>
      </c>
      <c r="P20" s="221">
        <v>30000.999999999996</v>
      </c>
      <c r="Q20" s="221">
        <v>30000.999999999996</v>
      </c>
      <c r="R20" s="221">
        <v>30000.999999999996</v>
      </c>
    </row>
    <row r="21" spans="1:18" ht="16" x14ac:dyDescent="0.2">
      <c r="A21" s="174" t="s">
        <v>57</v>
      </c>
      <c r="B21" s="175">
        <v>2274.125</v>
      </c>
      <c r="C21" s="175">
        <v>2205.306275862069</v>
      </c>
      <c r="D21" s="228">
        <v>2370.2790901120688</v>
      </c>
      <c r="E21" s="228">
        <v>2558.0176299896939</v>
      </c>
      <c r="F21" s="228">
        <v>2771.4081928525316</v>
      </c>
      <c r="G21" s="228">
        <v>3013.693572205314</v>
      </c>
      <c r="H21" s="228">
        <v>3288.5167032799272</v>
      </c>
      <c r="K21" s="213" t="s">
        <v>119</v>
      </c>
      <c r="L21" s="221">
        <v>24730</v>
      </c>
      <c r="M21" s="221">
        <v>24727.482758620688</v>
      </c>
      <c r="N21" s="221">
        <v>24727.482758620688</v>
      </c>
      <c r="O21" s="221">
        <v>24727.482758620688</v>
      </c>
      <c r="P21" s="221">
        <v>24727.482758620688</v>
      </c>
      <c r="Q21" s="221">
        <v>24727.482758620688</v>
      </c>
      <c r="R21" s="221">
        <v>24727.482758620688</v>
      </c>
    </row>
    <row r="22" spans="1:18" ht="16" x14ac:dyDescent="0.2">
      <c r="A22" s="182" t="s">
        <v>58</v>
      </c>
      <c r="B22" s="183">
        <v>1373</v>
      </c>
      <c r="C22" s="183">
        <v>1372.712275862069</v>
      </c>
      <c r="D22" s="183">
        <v>1372.712275862069</v>
      </c>
      <c r="E22" s="176">
        <v>1372.712275862069</v>
      </c>
      <c r="F22" s="176">
        <v>1372.712275862069</v>
      </c>
      <c r="G22" s="176">
        <v>1372.712275862069</v>
      </c>
      <c r="H22" s="176">
        <v>1372.712275862069</v>
      </c>
      <c r="K22" s="213" t="s">
        <v>120</v>
      </c>
      <c r="L22" s="221">
        <v>41933.699999999997</v>
      </c>
      <c r="M22" s="221">
        <v>42510.964674016097</v>
      </c>
      <c r="N22" s="221">
        <v>49629.536822188398</v>
      </c>
      <c r="O22" s="221">
        <v>58870.758880878129</v>
      </c>
      <c r="P22" s="221">
        <v>67843.365925636768</v>
      </c>
      <c r="Q22" s="221">
        <v>75122.741310671248</v>
      </c>
      <c r="R22" s="221">
        <v>81454.714815809071</v>
      </c>
    </row>
    <row r="23" spans="1:18" ht="16" x14ac:dyDescent="0.2">
      <c r="A23" s="182" t="s">
        <v>59</v>
      </c>
      <c r="B23" s="183">
        <v>405</v>
      </c>
      <c r="C23" s="183">
        <v>484</v>
      </c>
      <c r="D23" s="183">
        <v>509.28000000000003</v>
      </c>
      <c r="E23" s="176">
        <v>535.88379999999995</v>
      </c>
      <c r="F23" s="176">
        <v>563.88090299999999</v>
      </c>
      <c r="G23" s="176">
        <v>593.34447080500001</v>
      </c>
      <c r="H23" s="176">
        <v>624.351517152675</v>
      </c>
      <c r="K23" s="213" t="s">
        <v>121</v>
      </c>
      <c r="L23" s="221">
        <v>0</v>
      </c>
      <c r="M23" s="221">
        <v>0</v>
      </c>
      <c r="N23" s="221">
        <v>0</v>
      </c>
      <c r="O23" s="221">
        <v>0</v>
      </c>
      <c r="P23" s="221">
        <v>0</v>
      </c>
      <c r="Q23" s="221">
        <v>0</v>
      </c>
      <c r="R23" s="221">
        <v>0</v>
      </c>
    </row>
    <row r="24" spans="1:18" ht="16" x14ac:dyDescent="0.2">
      <c r="A24" s="182" t="s">
        <v>141</v>
      </c>
      <c r="B24" s="183">
        <v>496.125</v>
      </c>
      <c r="C24" s="227">
        <v>348.59400000000011</v>
      </c>
      <c r="D24" s="189">
        <v>488.28681425000013</v>
      </c>
      <c r="E24" s="189">
        <v>649.42155412762497</v>
      </c>
      <c r="F24" s="189">
        <v>834.81501399046249</v>
      </c>
      <c r="G24" s="189">
        <v>1047.6368255382451</v>
      </c>
      <c r="H24" s="189">
        <v>1291.4529102651829</v>
      </c>
      <c r="K24" s="217" t="s">
        <v>122</v>
      </c>
      <c r="L24" s="221">
        <v>0</v>
      </c>
      <c r="M24" s="221">
        <v>0</v>
      </c>
      <c r="N24" s="221">
        <v>0</v>
      </c>
      <c r="O24" s="221">
        <v>0</v>
      </c>
      <c r="P24" s="221">
        <v>0</v>
      </c>
      <c r="Q24" s="221">
        <v>0</v>
      </c>
      <c r="R24" s="221">
        <v>0</v>
      </c>
    </row>
    <row r="25" spans="1:18" ht="16" x14ac:dyDescent="0.2">
      <c r="A25" s="174" t="s">
        <v>60</v>
      </c>
      <c r="B25" s="175">
        <v>186</v>
      </c>
      <c r="C25" s="175">
        <v>210</v>
      </c>
      <c r="D25" s="228">
        <v>218.54999999999998</v>
      </c>
      <c r="E25" s="228">
        <v>176.56099999999998</v>
      </c>
      <c r="F25" s="228">
        <v>186.05792249999999</v>
      </c>
      <c r="G25" s="228">
        <v>196.0670409125</v>
      </c>
      <c r="H25" s="228">
        <v>206.61605297943746</v>
      </c>
      <c r="K25" s="272" t="s">
        <v>152</v>
      </c>
      <c r="L25" s="221">
        <v>6833.1750000000011</v>
      </c>
      <c r="M25" s="234">
        <v>6803.3208292758663</v>
      </c>
      <c r="N25" s="234">
        <v>8323.4931235172371</v>
      </c>
      <c r="O25" s="221">
        <v>11240.032314482756</v>
      </c>
      <c r="P25" s="234">
        <v>14615.958558344832</v>
      </c>
      <c r="Q25" s="234">
        <v>17607.678247793105</v>
      </c>
      <c r="R25" s="234">
        <v>19958.913100586193</v>
      </c>
    </row>
    <row r="26" spans="1:18" ht="16" x14ac:dyDescent="0.2">
      <c r="A26" s="182" t="s">
        <v>61</v>
      </c>
      <c r="B26" s="183">
        <v>51</v>
      </c>
      <c r="C26" s="183">
        <v>51</v>
      </c>
      <c r="D26" s="183">
        <v>51</v>
      </c>
      <c r="E26" s="176">
        <v>0</v>
      </c>
      <c r="F26" s="176">
        <v>0</v>
      </c>
      <c r="G26" s="176">
        <v>0</v>
      </c>
      <c r="H26" s="176">
        <v>0</v>
      </c>
      <c r="K26" s="211" t="s">
        <v>123</v>
      </c>
      <c r="L26" s="210">
        <v>30260</v>
      </c>
      <c r="M26" s="210">
        <v>27301.74995862069</v>
      </c>
      <c r="N26" s="210">
        <v>27477.594786206901</v>
      </c>
      <c r="O26" s="210">
        <v>30112.174096551727</v>
      </c>
      <c r="P26" s="210">
        <v>33520.191337931035</v>
      </c>
      <c r="Q26" s="210">
        <v>36992.280303448279</v>
      </c>
      <c r="R26" s="210">
        <v>40061.578165517247</v>
      </c>
    </row>
    <row r="27" spans="1:18" ht="16" x14ac:dyDescent="0.2">
      <c r="A27" s="182" t="s">
        <v>50</v>
      </c>
      <c r="B27" s="183">
        <v>135</v>
      </c>
      <c r="C27" s="183">
        <v>159</v>
      </c>
      <c r="D27" s="183">
        <v>167.54999999999998</v>
      </c>
      <c r="E27" s="176">
        <v>176.56099999999998</v>
      </c>
      <c r="F27" s="176">
        <v>186.05792249999999</v>
      </c>
      <c r="G27" s="176">
        <v>196.0670409125</v>
      </c>
      <c r="H27" s="176">
        <v>206.61605297943746</v>
      </c>
      <c r="K27" s="212" t="s">
        <v>124</v>
      </c>
      <c r="L27" s="210">
        <v>13290</v>
      </c>
      <c r="M27" s="210">
        <v>13290</v>
      </c>
      <c r="N27" s="210">
        <v>12136</v>
      </c>
      <c r="O27" s="210">
        <v>12136</v>
      </c>
      <c r="P27" s="210">
        <v>12136</v>
      </c>
      <c r="Q27" s="210">
        <v>12136</v>
      </c>
      <c r="R27" s="210">
        <v>12136</v>
      </c>
    </row>
    <row r="28" spans="1:18" ht="16" x14ac:dyDescent="0.2">
      <c r="A28" s="174" t="s">
        <v>62</v>
      </c>
      <c r="B28" s="175">
        <v>28897.125</v>
      </c>
      <c r="C28" s="175">
        <v>29528.602015448287</v>
      </c>
      <c r="D28" s="228">
        <v>40688.896983334525</v>
      </c>
      <c r="E28" s="228">
        <v>55993.874489073001</v>
      </c>
      <c r="F28" s="228">
        <v>76186.43934461163</v>
      </c>
      <c r="G28" s="228">
        <v>104012.2478365507</v>
      </c>
      <c r="H28" s="228">
        <v>140880.46019050773</v>
      </c>
      <c r="K28" s="213" t="s">
        <v>125</v>
      </c>
      <c r="L28" s="221">
        <v>1154</v>
      </c>
      <c r="M28" s="221">
        <v>1154</v>
      </c>
      <c r="N28" s="221">
        <v>0</v>
      </c>
      <c r="O28" s="221">
        <v>0</v>
      </c>
      <c r="P28" s="221">
        <v>0</v>
      </c>
      <c r="Q28" s="221">
        <v>0</v>
      </c>
      <c r="R28" s="221">
        <v>0</v>
      </c>
    </row>
    <row r="29" spans="1:18" ht="16" x14ac:dyDescent="0.2">
      <c r="A29" s="229" t="s">
        <v>63</v>
      </c>
      <c r="B29" s="183">
        <v>7100.25</v>
      </c>
      <c r="C29" s="183">
        <v>7295.0020038620696</v>
      </c>
      <c r="D29" s="183">
        <v>10050.152542271137</v>
      </c>
      <c r="E29" s="176">
        <v>13836.113233736347</v>
      </c>
      <c r="F29" s="176">
        <v>18837.906082655296</v>
      </c>
      <c r="G29" s="176">
        <v>25741.152752753111</v>
      </c>
      <c r="H29" s="176">
        <v>34897.251820060636</v>
      </c>
      <c r="K29" s="213" t="s">
        <v>126</v>
      </c>
      <c r="L29" s="221">
        <v>12136</v>
      </c>
      <c r="M29" s="221">
        <v>12136</v>
      </c>
      <c r="N29" s="221">
        <v>12136</v>
      </c>
      <c r="O29" s="221">
        <v>12136</v>
      </c>
      <c r="P29" s="221">
        <v>12136</v>
      </c>
      <c r="Q29" s="221">
        <v>12136</v>
      </c>
      <c r="R29" s="221">
        <v>12136</v>
      </c>
    </row>
    <row r="30" spans="1:18" ht="16" x14ac:dyDescent="0.2">
      <c r="A30" s="174" t="s">
        <v>10</v>
      </c>
      <c r="B30" s="175">
        <v>21796.875</v>
      </c>
      <c r="C30" s="175">
        <v>22233.600011586219</v>
      </c>
      <c r="D30" s="228">
        <v>30638.744441063391</v>
      </c>
      <c r="E30" s="228">
        <v>42157.761255336656</v>
      </c>
      <c r="F30" s="228">
        <v>57348.533261956334</v>
      </c>
      <c r="G30" s="228">
        <v>78271.095083797583</v>
      </c>
      <c r="H30" s="228">
        <v>105983.2083704471</v>
      </c>
      <c r="K30" s="212" t="s">
        <v>127</v>
      </c>
      <c r="L30" s="210">
        <v>16970</v>
      </c>
      <c r="M30" s="210">
        <v>14011.74995862069</v>
      </c>
      <c r="N30" s="210">
        <v>15341.594786206899</v>
      </c>
      <c r="O30" s="210">
        <v>17976.174096551727</v>
      </c>
      <c r="P30" s="210">
        <v>21384.191337931035</v>
      </c>
      <c r="Q30" s="210">
        <v>24856.280303448279</v>
      </c>
      <c r="R30" s="210">
        <v>27925.578165517247</v>
      </c>
    </row>
    <row r="31" spans="1:18" ht="16" x14ac:dyDescent="0.2">
      <c r="A31" s="231" t="s">
        <v>142</v>
      </c>
      <c r="B31" s="194">
        <v>20893.5</v>
      </c>
      <c r="C31" s="194">
        <v>21272.4744104276</v>
      </c>
      <c r="D31" s="194">
        <v>28518.572147586605</v>
      </c>
      <c r="E31" s="194">
        <v>38241.22206300142</v>
      </c>
      <c r="F31" s="194">
        <v>50772.607019847463</v>
      </c>
      <c r="G31" s="194">
        <v>67479.375395178489</v>
      </c>
      <c r="H31" s="194">
        <v>89131.97351579956</v>
      </c>
      <c r="K31" s="217" t="s">
        <v>128</v>
      </c>
      <c r="L31" s="221">
        <v>4420</v>
      </c>
      <c r="M31" s="221">
        <v>4169.3016827586207</v>
      </c>
      <c r="N31" s="221">
        <v>4169.3016827586207</v>
      </c>
      <c r="O31" s="221">
        <v>4169.3016827586207</v>
      </c>
      <c r="P31" s="221">
        <v>4169.3016827586207</v>
      </c>
      <c r="Q31" s="221">
        <v>4169.3016827586207</v>
      </c>
      <c r="R31" s="221">
        <v>4169.3016827586207</v>
      </c>
    </row>
    <row r="32" spans="1:18" ht="16" x14ac:dyDescent="0.2">
      <c r="A32" s="232" t="s">
        <v>143</v>
      </c>
      <c r="B32" s="235">
        <v>903.375</v>
      </c>
      <c r="C32" s="235">
        <v>961.12560115862084</v>
      </c>
      <c r="D32" s="235">
        <v>2120.1722934767868</v>
      </c>
      <c r="E32" s="235">
        <v>3916.5391923352363</v>
      </c>
      <c r="F32" s="235">
        <v>6575.9262421088724</v>
      </c>
      <c r="G32" s="203">
        <v>10791.719688619094</v>
      </c>
      <c r="H32" s="203">
        <v>16851.234854647548</v>
      </c>
      <c r="K32" s="218" t="s">
        <v>129</v>
      </c>
      <c r="L32" s="221">
        <v>12550</v>
      </c>
      <c r="M32" s="221">
        <v>9842.4482758620688</v>
      </c>
      <c r="N32" s="221">
        <v>11172.293103448277</v>
      </c>
      <c r="O32" s="221">
        <v>13806.872413793106</v>
      </c>
      <c r="P32" s="221">
        <v>17214.889655172417</v>
      </c>
      <c r="Q32" s="221">
        <v>20686.978620689661</v>
      </c>
      <c r="R32" s="221">
        <v>23756.276482758625</v>
      </c>
    </row>
    <row r="33" spans="1:8" ht="16" x14ac:dyDescent="0.2">
      <c r="A33" s="190" t="s">
        <v>65</v>
      </c>
      <c r="B33" s="183">
        <v>4254</v>
      </c>
      <c r="C33" s="183">
        <v>4253.8487376919538</v>
      </c>
      <c r="D33" s="183">
        <v>3299.2800000000007</v>
      </c>
      <c r="E33" s="176">
        <v>4729.3667912695873</v>
      </c>
      <c r="F33" s="176">
        <v>4986.7699187894104</v>
      </c>
      <c r="G33" s="176">
        <v>5258.2298970628317</v>
      </c>
      <c r="H33" s="176">
        <v>5544.516953680687</v>
      </c>
    </row>
    <row r="34" spans="1:8" ht="16" x14ac:dyDescent="0.2">
      <c r="A34" s="425" t="s">
        <v>66</v>
      </c>
      <c r="B34" s="175">
        <v>31829.125</v>
      </c>
      <c r="C34" s="175">
        <v>32460.738477278177</v>
      </c>
      <c r="D34" s="228">
        <v>42666.464707472456</v>
      </c>
      <c r="E34" s="228">
        <v>59350.529004480522</v>
      </c>
      <c r="F34" s="228">
        <f>F30+F29+F26-F22+F33</f>
        <v>79800.496987538965</v>
      </c>
      <c r="G34" s="228">
        <v>107897.76545775146</v>
      </c>
      <c r="H34" s="228">
        <v>145052.26486832634</v>
      </c>
    </row>
    <row r="36" spans="1:8" x14ac:dyDescent="0.2">
      <c r="F36" s="396"/>
    </row>
  </sheetData>
  <mergeCells count="2">
    <mergeCell ref="B1:H1"/>
    <mergeCell ref="L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197C-09EC-0D42-AD28-DFD150ABE9BB}">
  <dimension ref="A1:AN21"/>
  <sheetViews>
    <sheetView zoomScaleNormal="100" workbookViewId="0">
      <pane xSplit="1" ySplit="1" topLeftCell="W2" activePane="bottomRight" state="frozen"/>
      <selection pane="topRight" activeCell="B1" sqref="B1"/>
      <selection pane="bottomLeft" activeCell="A2" sqref="A2"/>
      <selection pane="bottomRight" activeCell="A11" sqref="A11"/>
    </sheetView>
  </sheetViews>
  <sheetFormatPr baseColWidth="10" defaultColWidth="10.83203125" defaultRowHeight="20" customHeight="1" outlineLevelCol="1" x14ac:dyDescent="0.2"/>
  <cols>
    <col min="1" max="1" width="68.5" style="196" customWidth="1"/>
    <col min="2" max="32" width="10.83203125" style="196" customWidth="1" outlineLevel="1"/>
    <col min="33" max="16384" width="10.83203125" style="196"/>
  </cols>
  <sheetData>
    <row r="1" spans="1:40" ht="20" customHeight="1" x14ac:dyDescent="0.2">
      <c r="A1" s="415" t="s">
        <v>186</v>
      </c>
      <c r="B1" s="412" t="s">
        <v>1</v>
      </c>
      <c r="C1" s="413"/>
      <c r="D1" s="413"/>
      <c r="E1" s="413"/>
      <c r="F1" s="413"/>
      <c r="G1" s="413"/>
      <c r="H1" s="414"/>
      <c r="I1" s="420"/>
      <c r="J1" s="412" t="s">
        <v>2</v>
      </c>
      <c r="K1" s="413"/>
      <c r="L1" s="413"/>
      <c r="M1" s="413"/>
      <c r="N1" s="413"/>
      <c r="O1" s="413"/>
      <c r="P1" s="414"/>
      <c r="Q1" s="417"/>
      <c r="R1" s="412" t="s">
        <v>3</v>
      </c>
      <c r="S1" s="413"/>
      <c r="T1" s="413"/>
      <c r="U1" s="413"/>
      <c r="V1" s="413"/>
      <c r="W1" s="413"/>
      <c r="X1" s="414"/>
      <c r="Y1" s="420"/>
      <c r="Z1" s="412" t="s">
        <v>4</v>
      </c>
      <c r="AA1" s="413"/>
      <c r="AB1" s="413"/>
      <c r="AC1" s="413"/>
      <c r="AD1" s="413"/>
      <c r="AE1" s="413"/>
      <c r="AF1" s="414"/>
      <c r="AH1" s="410" t="s">
        <v>139</v>
      </c>
      <c r="AI1" s="411"/>
      <c r="AJ1" s="411"/>
      <c r="AK1" s="411"/>
      <c r="AL1" s="411"/>
      <c r="AM1" s="411"/>
      <c r="AN1" s="411"/>
    </row>
    <row r="2" spans="1:40" ht="27" customHeight="1" x14ac:dyDescent="0.2">
      <c r="A2" s="416"/>
      <c r="B2" s="282" t="s">
        <v>26</v>
      </c>
      <c r="C2" s="282" t="s">
        <v>5</v>
      </c>
      <c r="D2" s="283">
        <v>2026</v>
      </c>
      <c r="E2" s="283">
        <v>2027</v>
      </c>
      <c r="F2" s="283">
        <v>2028</v>
      </c>
      <c r="G2" s="283">
        <v>2029</v>
      </c>
      <c r="H2" s="283">
        <v>2030</v>
      </c>
      <c r="I2" s="421"/>
      <c r="J2" s="282" t="s">
        <v>26</v>
      </c>
      <c r="K2" s="282" t="s">
        <v>5</v>
      </c>
      <c r="L2" s="283">
        <v>2026</v>
      </c>
      <c r="M2" s="283">
        <v>2027</v>
      </c>
      <c r="N2" s="283">
        <v>2028</v>
      </c>
      <c r="O2" s="283">
        <v>2029</v>
      </c>
      <c r="P2" s="283">
        <v>2030</v>
      </c>
      <c r="Q2" s="418"/>
      <c r="R2" s="282" t="s">
        <v>26</v>
      </c>
      <c r="S2" s="282" t="s">
        <v>5</v>
      </c>
      <c r="T2" s="283">
        <v>2026</v>
      </c>
      <c r="U2" s="283">
        <v>2027</v>
      </c>
      <c r="V2" s="283">
        <v>2028</v>
      </c>
      <c r="W2" s="283">
        <v>2029</v>
      </c>
      <c r="X2" s="283">
        <v>2030</v>
      </c>
      <c r="Y2" s="421"/>
      <c r="Z2" s="282" t="s">
        <v>26</v>
      </c>
      <c r="AA2" s="282" t="s">
        <v>5</v>
      </c>
      <c r="AB2" s="283">
        <v>2026</v>
      </c>
      <c r="AC2" s="283">
        <v>2027</v>
      </c>
      <c r="AD2" s="283">
        <v>2028</v>
      </c>
      <c r="AE2" s="283">
        <v>2029</v>
      </c>
      <c r="AF2" s="283">
        <v>2030</v>
      </c>
      <c r="AH2" s="407" t="s">
        <v>26</v>
      </c>
      <c r="AI2" s="407" t="s">
        <v>5</v>
      </c>
      <c r="AJ2" s="407">
        <v>2026</v>
      </c>
      <c r="AK2" s="407">
        <v>2027</v>
      </c>
      <c r="AL2" s="407">
        <v>2028</v>
      </c>
      <c r="AM2" s="407">
        <v>2029</v>
      </c>
      <c r="AN2" s="407">
        <v>2030</v>
      </c>
    </row>
    <row r="3" spans="1:40" ht="20" customHeight="1" x14ac:dyDescent="0.2">
      <c r="A3" s="284" t="s">
        <v>187</v>
      </c>
      <c r="B3" s="285"/>
      <c r="C3" s="286"/>
      <c r="D3" s="286"/>
      <c r="E3" s="286"/>
      <c r="F3" s="286"/>
      <c r="G3" s="286"/>
      <c r="H3" s="286"/>
      <c r="I3" s="421"/>
      <c r="J3" s="286"/>
      <c r="K3" s="286"/>
      <c r="L3" s="286"/>
      <c r="M3" s="286"/>
      <c r="N3" s="286"/>
      <c r="O3" s="286"/>
      <c r="P3" s="286"/>
      <c r="Q3" s="418"/>
      <c r="R3" s="286"/>
      <c r="S3" s="286"/>
      <c r="T3" s="286"/>
      <c r="U3" s="286"/>
      <c r="V3" s="286"/>
      <c r="W3" s="286"/>
      <c r="X3" s="286"/>
      <c r="Y3" s="421"/>
      <c r="Z3" s="286"/>
      <c r="AA3" s="286"/>
      <c r="AB3" s="286"/>
      <c r="AC3" s="286"/>
      <c r="AD3" s="286"/>
      <c r="AE3" s="286"/>
      <c r="AF3" s="286"/>
    </row>
    <row r="4" spans="1:40" ht="20" customHeight="1" x14ac:dyDescent="0.2">
      <c r="A4" s="287" t="s">
        <v>188</v>
      </c>
      <c r="B4" s="288">
        <f>Вводные!C52/Вводные!C42*100%</f>
        <v>0.66277939747327508</v>
      </c>
      <c r="C4" s="288">
        <f>Вводные!D52/Вводные!D42*100%</f>
        <v>0.66282862801444609</v>
      </c>
      <c r="D4" s="288">
        <f>Вводные!E52/Вводные!E42*100%</f>
        <v>0.66404240687196137</v>
      </c>
      <c r="E4" s="288">
        <f>Вводные!F52/Вводные!F42*100%</f>
        <v>0.66857240912120819</v>
      </c>
      <c r="F4" s="288">
        <f>Вводные!G52/Вводные!G42*100%</f>
        <v>0.67570189792174196</v>
      </c>
      <c r="G4" s="288">
        <f>Вводные!H52/Вводные!H42*100%</f>
        <v>0.68483110657212565</v>
      </c>
      <c r="H4" s="288">
        <f>Вводные!I52/Вводные!I42*100%</f>
        <v>0.69546001095499999</v>
      </c>
      <c r="I4" s="421"/>
      <c r="J4" s="288">
        <f>Вводные!K52/Вводные!K42*100%</f>
        <v>0.52235294117647058</v>
      </c>
      <c r="K4" s="288">
        <f>Вводные!L52/Вводные!L42*100%</f>
        <v>0.53000000000000014</v>
      </c>
      <c r="L4" s="288">
        <f>Вводные!M52/Вводные!M42*100%</f>
        <v>0.54399929883128217</v>
      </c>
      <c r="M4" s="288">
        <f>Вводные!N52/Вводные!N42*100%</f>
        <v>0.55734868156534045</v>
      </c>
      <c r="N4" s="288">
        <f>Вводные!O52/Вводные!O42*100%</f>
        <v>0.57009499857044088</v>
      </c>
      <c r="O4" s="288">
        <f>Вводные!P52/Вводные!P42*100%</f>
        <v>0.58228067541077344</v>
      </c>
      <c r="P4" s="288">
        <f>Вводные!Q52/Вводные!Q42*100%</f>
        <v>0.59394417385786513</v>
      </c>
      <c r="Q4" s="418"/>
      <c r="R4" s="294">
        <f>Вводные!S52/Вводные!S42</f>
        <v>0.36919831223628691</v>
      </c>
      <c r="S4" s="294">
        <f>Вводные!T52/Вводные!T42</f>
        <v>0.37374313047018115</v>
      </c>
      <c r="T4" s="294">
        <f>Вводные!U52/Вводные!U42</f>
        <v>0.44174220891156574</v>
      </c>
      <c r="U4" s="294">
        <f>Вводные!V52/Вводные!V42</f>
        <v>0.51560446744500221</v>
      </c>
      <c r="V4" s="294">
        <f>Вводные!W52/Вводные!W42</f>
        <v>0.58812467058726203</v>
      </c>
      <c r="W4" s="294">
        <f>Вводные!X52/Вводные!X42</f>
        <v>0.66164891131801473</v>
      </c>
      <c r="X4" s="294">
        <f>Вводные!Y52/Вводные!Y42</f>
        <v>0.72498956375060697</v>
      </c>
      <c r="Y4" s="421"/>
      <c r="Z4" s="294">
        <f>Вводные!AA52/Вводные!AA42</f>
        <v>0.72352941176470587</v>
      </c>
      <c r="AA4" s="294">
        <f>Вводные!AB52/Вводные!AB42</f>
        <v>0.69399148224784846</v>
      </c>
      <c r="AB4" s="294">
        <f>Вводные!AC52/Вводные!AC42</f>
        <v>0.71040177658084547</v>
      </c>
      <c r="AC4" s="294">
        <f>Вводные!AD52/Вводные!AD42</f>
        <v>0.72569646946009803</v>
      </c>
      <c r="AD4" s="294">
        <f>Вводные!AE52/Вводные!AE42</f>
        <v>0.73995181251161746</v>
      </c>
      <c r="AE4" s="294">
        <f>Вводные!AF52/Вводные!AF42</f>
        <v>0.75323884430586441</v>
      </c>
      <c r="AF4" s="294">
        <f>Вводные!AG52/Вводные!AG42</f>
        <v>0.76562374680742196</v>
      </c>
      <c r="AH4" s="297">
        <f>'Группа компаний Конс.Отчетность'!B13/'Группа компаний Конс.Отчетность'!B3</f>
        <v>0.56319323205739547</v>
      </c>
      <c r="AI4" s="297">
        <f>'Группа компаний Конс.Отчетность'!C13/'Группа компаний Конс.Отчетность'!C3</f>
        <v>0.56535845271910079</v>
      </c>
      <c r="AJ4" s="297">
        <f>'Группа компаний Конс.Отчетность'!D13/'Группа компаний Конс.Отчетность'!D3</f>
        <v>0.58288665842242993</v>
      </c>
      <c r="AK4" s="297">
        <f>'Группа компаний Конс.Отчетность'!E13/'Группа компаний Конс.Отчетность'!E3</f>
        <v>0.60273768508207681</v>
      </c>
      <c r="AL4" s="297">
        <f>'Группа компаний Конс.Отчетность'!F13/'Группа компаний Конс.Отчетность'!F3</f>
        <v>0.62458871508150238</v>
      </c>
      <c r="AM4" s="297">
        <f>'Группа компаний Конс.Отчетность'!G13/'Группа компаний Конс.Отчетность'!G3</f>
        <v>0.64964235760887401</v>
      </c>
      <c r="AN4" s="297">
        <f>'Группа компаний Конс.Отчетность'!H13/'Группа компаний Конс.Отчетность'!H3</f>
        <v>0.67565987556461804</v>
      </c>
    </row>
    <row r="5" spans="1:40" ht="20" customHeight="1" x14ac:dyDescent="0.2">
      <c r="A5" s="426" t="s">
        <v>189</v>
      </c>
      <c r="B5" s="288">
        <f>Вводные!C70/Вводные!C42*100%</f>
        <v>0.38518950437317784</v>
      </c>
      <c r="C5" s="288">
        <f>Вводные!D70/Вводные!D42*100%</f>
        <v>0.38730534736515088</v>
      </c>
      <c r="D5" s="288">
        <f>Вводные!E70/Вводные!E42*100%</f>
        <v>0.4061941190120375</v>
      </c>
      <c r="E5" s="288">
        <f>Вводные!F70/Вводные!F42*100%</f>
        <v>0.43154861871436856</v>
      </c>
      <c r="F5" s="288">
        <f>Вводные!G70/Вводные!G42*100%</f>
        <v>0.45824350937270192</v>
      </c>
      <c r="G5" s="288">
        <f>Вводные!H70/Вводные!H42*100%</f>
        <v>0.48578301245511046</v>
      </c>
      <c r="H5" s="288">
        <f>Вводные!I70/Вводные!I42*100%</f>
        <v>0.51376248505720035</v>
      </c>
      <c r="I5" s="421"/>
      <c r="J5" s="294">
        <f>Вводные!K70/Вводные!K42*100%</f>
        <v>0.25614117647058826</v>
      </c>
      <c r="K5" s="294">
        <f>Вводные!L70/Вводные!L42*100%</f>
        <v>0.26602191519975044</v>
      </c>
      <c r="L5" s="294">
        <f>Вводные!M70/Вводные!M42*100%</f>
        <v>0.28414264863432054</v>
      </c>
      <c r="M5" s="294">
        <f>Вводные!N70/Вводные!N42*100%</f>
        <v>0.34515956993064367</v>
      </c>
      <c r="N5" s="294">
        <f>Вводные!O70/Вводные!O42*100%</f>
        <v>0.37984638368199264</v>
      </c>
      <c r="O5" s="294">
        <f>Вводные!P70/Вводные!P42*100%</f>
        <v>0.41169843075716045</v>
      </c>
      <c r="P5" s="294">
        <f>Вводные!Q70/Вводные!Q42*100%</f>
        <v>0.44099043714845299</v>
      </c>
      <c r="Q5" s="418"/>
      <c r="R5" s="399">
        <f>Вводные!S70/Вводные!S42*100%</f>
        <v>2.6540084388185656E-2</v>
      </c>
      <c r="S5" s="399">
        <f>Вводные!T70/Вводные!T42*100%</f>
        <v>2.7233869326277225E-2</v>
      </c>
      <c r="T5" s="399">
        <f>Вводные!U70/Вводные!U42*100%</f>
        <v>0.11910037622479448</v>
      </c>
      <c r="U5" s="399">
        <f>Вводные!V70/Вводные!V42*100%</f>
        <v>0.22335634399641979</v>
      </c>
      <c r="V5" s="399">
        <f>Вводные!W70/Вводные!W42*100%</f>
        <v>0.32898273409510137</v>
      </c>
      <c r="W5" s="399">
        <f>Вводные!X70/Вводные!X42*100%</f>
        <v>0.4399759745576729</v>
      </c>
      <c r="X5" s="399">
        <f>Вводные!Y70/Вводные!Y42*100%</f>
        <v>0.53561661171208408</v>
      </c>
      <c r="Y5" s="421"/>
      <c r="Z5" s="294">
        <f>Вводные!AA70/Вводные!AA42</f>
        <v>0.27611764705882352</v>
      </c>
      <c r="AA5" s="294">
        <f>Вводные!AB70/Вводные!AB42</f>
        <v>0.21372217286660875</v>
      </c>
      <c r="AB5" s="294">
        <f>Вводные!AC70/Вводные!AC42</f>
        <v>0.26117705548040093</v>
      </c>
      <c r="AC5" s="294">
        <f>Вводные!AD70/Вводные!AD42</f>
        <v>0.3054404889162638</v>
      </c>
      <c r="AD5" s="294">
        <f>Вводные!AE70/Вводные!AE42</f>
        <v>0.34672961591708956</v>
      </c>
      <c r="AE5" s="294">
        <f>Вводные!AF70/Вводные!AF42</f>
        <v>0.38524674165368872</v>
      </c>
      <c r="AF5" s="294">
        <f>Вводные!AG70/Вводные!AG42</f>
        <v>0.42118034954000449</v>
      </c>
      <c r="AH5" s="297">
        <f>'Группа компаний Конс.Отчетность'!B34/'Группа компаний Конс.Отчетность'!B3</f>
        <v>0.27646007591352462</v>
      </c>
      <c r="AI5" s="297">
        <f>'Группа компаний Конс.Отчетность'!C34/'Группа компаний Конс.Отчетность'!C3</f>
        <v>0.27800528190844565</v>
      </c>
      <c r="AJ5" s="297">
        <f>'Группа компаний Конс.Отчетность'!D34/'Группа компаний Конс.Отчетность'!D3</f>
        <v>0.31028087414331113</v>
      </c>
      <c r="AK5" s="297">
        <f>'Группа компаний Конс.Отчетность'!E34/'Группа компаний Конс.Отчетность'!E3</f>
        <v>0.36360875741563986</v>
      </c>
      <c r="AL5" s="297">
        <f>'Группа компаний Конс.Отчетность'!F34/'Группа компаний Конс.Отчетность'!F3</f>
        <v>0.40920114875560504</v>
      </c>
      <c r="AM5" s="297">
        <f>'Группа компаний Конс.Отчетность'!G34/'Группа компаний Конс.Отчетность'!G3</f>
        <v>0.457727390523327</v>
      </c>
      <c r="AN5" s="297">
        <f>'Группа компаний Конс.Отчетность'!H34/'Группа компаний Конс.Отчетность'!H3</f>
        <v>0.50518713173369856</v>
      </c>
    </row>
    <row r="6" spans="1:40" ht="20" customHeight="1" x14ac:dyDescent="0.2">
      <c r="A6" s="290" t="s">
        <v>190</v>
      </c>
      <c r="B6" s="288">
        <f>Вводные!C68/Вводные!C42*100%</f>
        <v>0.27323615160349857</v>
      </c>
      <c r="C6" s="288">
        <f>Вводные!D68/Вводные!D42*100%</f>
        <v>0.27483884121005009</v>
      </c>
      <c r="D6" s="288">
        <f>Вводные!E68/Вводные!E42*100%</f>
        <v>0.29035191306749042</v>
      </c>
      <c r="E6" s="288">
        <f>Вводные!F68/Вводные!F42*100%</f>
        <v>0.31115982623138194</v>
      </c>
      <c r="F6" s="288">
        <f>Вводные!G68/Вводные!G42*100%</f>
        <v>0.33223471277084371</v>
      </c>
      <c r="G6" s="288">
        <f>Вводные!H68/Вводные!H42*100%</f>
        <v>0.35385673841853155</v>
      </c>
      <c r="H6" s="288">
        <f>Вводные!I68/Вводные!I42*100%</f>
        <v>0.37572914843547262</v>
      </c>
      <c r="I6" s="421"/>
      <c r="J6" s="294">
        <f>Вводные!K68/Вводные!K42*100%</f>
        <v>0.15637058823529412</v>
      </c>
      <c r="K6" s="294">
        <f>Вводные!L68/Вводные!L42*100%</f>
        <v>0.16437004354730347</v>
      </c>
      <c r="L6" s="294">
        <f>Вводные!M68/Вводные!M42*100%</f>
        <v>0.1987905136816516</v>
      </c>
      <c r="M6" s="294">
        <f>Вводные!N68/Вводные!N42*100%</f>
        <v>0.23028513916205873</v>
      </c>
      <c r="N6" s="294">
        <f>Вводные!O68/Вводные!O42*100%</f>
        <v>0.25913480112408138</v>
      </c>
      <c r="O6" s="294">
        <f>Вводные!P68/Вводные!P42*100%</f>
        <v>0.28559277107785735</v>
      </c>
      <c r="P6" s="294">
        <f>Вводные!Q68/Вводные!Q42*100%</f>
        <v>0.30988737875845002</v>
      </c>
      <c r="Q6" s="418"/>
      <c r="R6" s="294">
        <f>Вводные!S68/Вводные!S42</f>
        <v>2.5189873417721519E-2</v>
      </c>
      <c r="S6" s="294">
        <f>Вводные!T68/Вводные!T42</f>
        <v>2.5524119682475067E-2</v>
      </c>
      <c r="T6" s="294">
        <f>Вводные!U68/Вводные!U42</f>
        <v>9.2580270154941621E-2</v>
      </c>
      <c r="U6" s="294">
        <f>Вводные!V68/Вводные!V42</f>
        <v>0.16931699955147009</v>
      </c>
      <c r="V6" s="294">
        <f>Вводные!W68/Вводные!W42</f>
        <v>0.24747708009409056</v>
      </c>
      <c r="W6" s="294">
        <f>Вводные!X68/Вводные!X42</f>
        <v>0.33000758230348781</v>
      </c>
      <c r="X6" s="294">
        <f>Вводные!Y68/Вводные!Y42</f>
        <v>0.40131463721966948</v>
      </c>
      <c r="Y6" s="421"/>
      <c r="Z6" s="294">
        <f>Вводные!AA68/Вводные!AA42</f>
        <v>0.19455882352941176</v>
      </c>
      <c r="AA6" s="294">
        <f>Вводные!AB68/Вводные!AB42</f>
        <v>0.14686592166061063</v>
      </c>
      <c r="AB6" s="294">
        <f>Вводные!AC68/Вводные!AC42</f>
        <v>0.18343273694340836</v>
      </c>
      <c r="AC6" s="294">
        <f>Вводные!AD68/Вводные!AD42</f>
        <v>0.21753506409819376</v>
      </c>
      <c r="AD6" s="294">
        <f>Вводные!AE68/Вводные!AE42</f>
        <v>0.2493409126131946</v>
      </c>
      <c r="AE6" s="294">
        <f>Вводные!AF68/Вводные!AF42</f>
        <v>0.27900678936767853</v>
      </c>
      <c r="AF6" s="294">
        <f>Вводные!AG68/Вводные!AG42</f>
        <v>0.30667848770338363</v>
      </c>
      <c r="AH6" s="297">
        <f>'Группа компаний Конс.Отчетность'!B30/'Группа компаний Конс.Отчетность'!B3</f>
        <v>0.18932238059254242</v>
      </c>
      <c r="AI6" s="297">
        <f>'Группа компаний Конс.Отчетность'!C30/'Группа компаний Конс.Отчетность'!C3</f>
        <v>0.1904164393360076</v>
      </c>
      <c r="AJ6" s="297">
        <f>'Группа компаний Конс.Отчетность'!D30/'Группа компаний Конс.Отчетность'!D3</f>
        <v>0.22281237672268889</v>
      </c>
      <c r="AK6" s="297">
        <f>'Группа компаний Конс.Отчетность'!E30/'Группа компаний Конс.Отчетность'!E3</f>
        <v>0.25827792005562322</v>
      </c>
      <c r="AL6" s="297">
        <f>'Группа компаний Конс.Отчетность'!F30/'Группа компаний Конс.Отчетность'!F3</f>
        <v>0.2940719240621521</v>
      </c>
      <c r="AM6" s="297">
        <f>'Группа компаний Конс.Отчетность'!G30/'Группа компаний Конс.Отчетность'!G3</f>
        <v>0.33204417120332541</v>
      </c>
      <c r="AN6" s="297">
        <f>'Группа компаний Конс.Отчетность'!H30/'Группа компаний Конс.Отчетность'!H3</f>
        <v>0.36911766318991401</v>
      </c>
    </row>
    <row r="7" spans="1:40" ht="20" customHeight="1" x14ac:dyDescent="0.2">
      <c r="A7" s="287" t="s">
        <v>191</v>
      </c>
      <c r="B7" s="288">
        <f>Вводные!C68/(Вводные!C48+Вводные!C53)</f>
        <v>0.42646523480160176</v>
      </c>
      <c r="C7" s="288">
        <f>Вводные!D68/(Вводные!D48+Вводные!D53)</f>
        <v>0.43005256122014945</v>
      </c>
      <c r="D7" s="288">
        <f>Вводные!E68/(Вводные!E48+Вводные!E53)</f>
        <v>0.46993185411663291</v>
      </c>
      <c r="E7" s="288">
        <f>Вводные!F68/(Вводные!F48+Вводные!F53)</f>
        <v>0.52705200625135284</v>
      </c>
      <c r="F7" s="288">
        <f>Вводные!G68/(Вводные!G48+Вводные!G53)</f>
        <v>0.59143462170466221</v>
      </c>
      <c r="G7" s="288">
        <f>Вводные!H68/(Вводные!H48+Вводные!H53)</f>
        <v>0.66459889800649974</v>
      </c>
      <c r="H7" s="288">
        <f>Вводные!I68/(Вводные!I48+Вводные!I53)</f>
        <v>0.7472057272602427</v>
      </c>
      <c r="I7" s="421"/>
      <c r="J7" s="294">
        <f>Вводные!K68/(Вводные!K48+Вводные!K53)</f>
        <v>0.19444525718298319</v>
      </c>
      <c r="K7" s="294">
        <f>Вводные!L68/(Вводные!L48+Вводные!L53)</f>
        <v>0.20701516819559634</v>
      </c>
      <c r="L7" s="294">
        <f>Вводные!M68/(Вводные!M48+Вводные!M53)</f>
        <v>0.26641339119688628</v>
      </c>
      <c r="M7" s="294">
        <f>Вводные!N68/(Вводные!N48+Вводные!N53)</f>
        <v>0.32779158058377966</v>
      </c>
      <c r="N7" s="294">
        <f>Вводные!O68/(Вводные!O48+Вводные!O53)</f>
        <v>0.39104739536000888</v>
      </c>
      <c r="O7" s="294">
        <f>Вводные!P68/(Вводные!P48+Вводные!P53)</f>
        <v>0.45607385331126676</v>
      </c>
      <c r="P7" s="294">
        <f>Вводные!Q68/(Вводные!Q48+Вводные!Q53)</f>
        <v>0.52276115970030979</v>
      </c>
      <c r="Q7" s="418"/>
      <c r="R7" s="294">
        <f>Вводные!S68/(Вводные!S48+Вводные!S53)</f>
        <v>2.5190936326427275E-2</v>
      </c>
      <c r="S7" s="294">
        <f>Вводные!T68/(Вводные!T48+Вводные!T53)</f>
        <v>2.5568876926841205E-2</v>
      </c>
      <c r="T7" s="294">
        <f>Вводные!U68/(Вводные!U48+Вводные!U53)</f>
        <v>0.102506063273562</v>
      </c>
      <c r="U7" s="294">
        <f>Вводные!V68/(Вводные!V48+Вводные!V53)</f>
        <v>0.21283604249829152</v>
      </c>
      <c r="V7" s="294">
        <f>Вводные!W68/(Вводные!W48+Вводные!W53)</f>
        <v>0.36040924971880745</v>
      </c>
      <c r="W7" s="294">
        <f>Вводные!X68/(Вводные!X48+Вводные!X53)</f>
        <v>0.57644477065960875</v>
      </c>
      <c r="X7" s="294">
        <f>Вводные!Y68/(Вводные!Y48+Вводные!Y53)</f>
        <v>0.84635227786083922</v>
      </c>
      <c r="Y7" s="421"/>
      <c r="Z7" s="294">
        <f>Вводные!AA68/(Вводные!AA48+Вводные!AA53)</f>
        <v>0.26270849880857822</v>
      </c>
      <c r="AA7" s="294">
        <f>Вводные!AB68/(Вводные!AB48+Вводные!AB53)</f>
        <v>0.1825423783841528</v>
      </c>
      <c r="AB7" s="294">
        <f>Вводные!AC68/(Вводные!AC48+Вводные!AC53)</f>
        <v>0.24270824535874561</v>
      </c>
      <c r="AC7" s="294">
        <f>Вводные!AD68/(Вводные!AD48+Вводные!AD53)</f>
        <v>0.30626692684814438</v>
      </c>
      <c r="AD7" s="294">
        <f>Вводные!AE68/(Вводные!AE48+Вводные!AE53)</f>
        <v>0.37334989102535193</v>
      </c>
      <c r="AE7" s="294">
        <f>Вводные!AF68/(Вводные!AF48+Вводные!AF53)</f>
        <v>0.44408644439467015</v>
      </c>
      <c r="AF7" s="294">
        <f>Вводные!AG68/(Вводные!AG48+Вводные!AG53)</f>
        <v>0.51860268997240322</v>
      </c>
      <c r="AH7" s="297">
        <f>'Группа компаний Конс.Отчетность'!B30/('Группа компаний Конс.Отчетность'!B9+'Группа компаний Конс.Отчетность'!B14)</f>
        <v>0.2467887389325423</v>
      </c>
      <c r="AI7" s="297">
        <f>'Группа компаний Конс.Отчетность'!C30/('Группа компаний Конс.Отчетность'!C9+'Группа компаний Конс.Отчетность'!C14)</f>
        <v>0.24917255137633806</v>
      </c>
      <c r="AJ7" s="297">
        <f>'Группа компаний Конс.Отчетность'!D30/('Группа компаний Конс.Отчетность'!D9+'Группа компаний Конс.Отчетность'!D14)</f>
        <v>0.3095698232830415</v>
      </c>
      <c r="AK7" s="297">
        <f>'Группа компаний Конс.Отчетность'!E30/('Группа компаний Конс.Отчетность'!E9+'Группа компаний Конс.Отчетность'!E14)</f>
        <v>0.38460222896214902</v>
      </c>
      <c r="AL7" s="297">
        <f>'Группа компаний Конс.Отчетность'!F30/('Группа компаний Конс.Отчетность'!F9+'Группа компаний Конс.Отчетность'!F14)</f>
        <v>0.4723377826969527</v>
      </c>
      <c r="AM7" s="297">
        <f>'Группа компаний Конс.Отчетность'!G30/('Группа компаний Конс.Отчетность'!G9+'Группа компаний Конс.Отчетность'!G14)</f>
        <v>0.58181004122669278</v>
      </c>
      <c r="AN7" s="297">
        <f>'Группа компаний Конс.Отчетность'!H30/('Группа компаний Конс.Отчетность'!H9+'Группа компаний Конс.Отчетность'!H14)</f>
        <v>0.7097378903517374</v>
      </c>
    </row>
    <row r="8" spans="1:40" ht="20" customHeight="1" x14ac:dyDescent="0.2">
      <c r="A8" s="287" t="s">
        <v>192</v>
      </c>
      <c r="B8" s="288">
        <f>Вводные!C68/Вводные!C129*100%</f>
        <v>0.24490521203167839</v>
      </c>
      <c r="C8" s="288">
        <f>Вводные!D68/Вводные!D129*100%</f>
        <v>0.2442522909302372</v>
      </c>
      <c r="D8" s="288">
        <f>Вводные!E68/Вводные!E129*100%</f>
        <v>0.29107520986958657</v>
      </c>
      <c r="E8" s="288">
        <f>Вводные!F68/Вводные!F129*100%</f>
        <v>0.35180308464292731</v>
      </c>
      <c r="F8" s="288">
        <f>Вводные!G68/Вводные!G129*100%</f>
        <v>0.42459648490698448</v>
      </c>
      <c r="G8" s="288">
        <f>Вводные!H68/Вводные!H129*100%</f>
        <v>0.52021592480155554</v>
      </c>
      <c r="H8" s="288">
        <f>Вводные!I68/Вводные!I129*100%</f>
        <v>0.63380569235630579</v>
      </c>
      <c r="I8" s="421"/>
      <c r="J8" s="294">
        <f>Вводные!K68/Вводные!K129*100%</f>
        <v>0.17789862395083114</v>
      </c>
      <c r="K8" s="294">
        <f>Вводные!L68/Вводные!L129*100%</f>
        <v>0.18920375636135875</v>
      </c>
      <c r="L8" s="294">
        <f>Вводные!M68/Вводные!M129*100%</f>
        <v>0.24375763287723548</v>
      </c>
      <c r="M8" s="294">
        <f>Вводные!N68/Вводные!N129*100%</f>
        <v>0.30535769984367483</v>
      </c>
      <c r="N8" s="294">
        <f>Вводные!O68/Вводные!O129*100%</f>
        <v>0.38504604781518881</v>
      </c>
      <c r="O8" s="294">
        <f>Вводные!P68/Вводные!P129*100%</f>
        <v>0.48018680383945433</v>
      </c>
      <c r="P8" s="294">
        <f>Вводные!Q68/Вводные!Q129*100%</f>
        <v>0.59203953559296585</v>
      </c>
      <c r="Q8" s="418"/>
      <c r="R8" s="294">
        <f>Вводные!S68/Вводные!S129</f>
        <v>5.1638238245164843E-2</v>
      </c>
      <c r="S8" s="294">
        <f>Вводные!T68/Вводные!T129</f>
        <v>5.4801943852043469E-2</v>
      </c>
      <c r="T8" s="294">
        <f>Вводные!U68/Вводные!U129</f>
        <v>0.194272966159757</v>
      </c>
      <c r="U8" s="294">
        <f>Вводные!V68/Вводные!V129</f>
        <v>0.30753881605399247</v>
      </c>
      <c r="V8" s="294">
        <f>Вводные!W68/Вводные!W129</f>
        <v>0.41684001194784015</v>
      </c>
      <c r="W8" s="294">
        <f>Вводные!X68/Вводные!X129</f>
        <v>0.59395828763234726</v>
      </c>
      <c r="X8" s="294">
        <f>Вводные!Y68/Вводные!Y129</f>
        <v>0.84648077998811411</v>
      </c>
      <c r="Y8" s="421"/>
      <c r="Z8" s="294">
        <f>Вводные!AA68/Вводные!AA129</f>
        <v>0.47307444754344563</v>
      </c>
      <c r="AA8" s="294">
        <f>Вводные!AB68/Вводные!AB129</f>
        <v>0.35282531760164149</v>
      </c>
      <c r="AB8" s="294">
        <f>Вводные!AC68/Вводные!AC129</f>
        <v>0.33075171201993642</v>
      </c>
      <c r="AC8" s="294">
        <f>Вводные!AD68/Вводные!AD129</f>
        <v>0.30550724971485982</v>
      </c>
      <c r="AD8" s="294">
        <f>Вводные!AE68/Вводные!AE129</f>
        <v>0.28198153984048069</v>
      </c>
      <c r="AE8" s="294">
        <f>Вводные!AF68/Вводные!AF129</f>
        <v>0.26137550765611084</v>
      </c>
      <c r="AF8" s="294">
        <f>Вводные!AG68/Вводные!AG129</f>
        <v>0.25831019089624813</v>
      </c>
      <c r="AH8" s="297">
        <f>'Группа компаний Конс.Отчетность'!B30/'Группа компаний Конс.Отчетность'!L19</f>
        <v>0.21060215004414343</v>
      </c>
      <c r="AI8" s="297">
        <f>'Группа компаний Конс.Отчетность'!C30/'Группа компаний Конс.Отчетность'!M19</f>
        <v>0.21369673628460503</v>
      </c>
      <c r="AJ8" s="297">
        <f>'Группа компаний Конс.Отчетность'!D30/'Группа компаний Конс.Отчетность'!N19</f>
        <v>0.2719056898131883</v>
      </c>
      <c r="AK8" s="297">
        <f>'Группа компаний Конс.Отчетность'!E30/'Группа компаний Конс.Отчетность'!O19</f>
        <v>0.33769630277469342</v>
      </c>
      <c r="AL8" s="297">
        <f>'Группа компаний Конс.Отчетность'!F30/'Группа компаний Конс.Отчетность'!P19</f>
        <v>0.4180293745824033</v>
      </c>
      <c r="AM8" s="297">
        <f>'Группа компаний Конс.Отчетность'!G30/'Группа компаний Конс.Отчетность'!Q19</f>
        <v>0.53079938785580427</v>
      </c>
      <c r="AN8" s="297">
        <f>'Группа компаний Конс.Отчетность'!H30/'Группа компаний Конс.Отчетность'!R19</f>
        <v>0.67876121254075839</v>
      </c>
    </row>
    <row r="9" spans="1:40" ht="20" customHeight="1" x14ac:dyDescent="0.2">
      <c r="A9" s="287" t="s">
        <v>193</v>
      </c>
      <c r="B9" s="288">
        <f>Вводные!C68/Вводные!C113*100%</f>
        <v>0.2107905319694475</v>
      </c>
      <c r="C9" s="288">
        <f>Вводные!D68/Вводные!D113*100%</f>
        <v>0.21782453235378529</v>
      </c>
      <c r="D9" s="288">
        <f>Вводные!E68/Вводные!E113*100%</f>
        <v>0.26477898383005549</v>
      </c>
      <c r="E9" s="288">
        <f>Вводные!F68/Вводные!F113*100%</f>
        <v>0.32062563789635484</v>
      </c>
      <c r="F9" s="288">
        <f>Вводные!G68/Вводные!G113*100%</f>
        <v>0.38760959009112672</v>
      </c>
      <c r="G9" s="288">
        <f>Вводные!H68/Вводные!H113*100%</f>
        <v>0.47495481166024944</v>
      </c>
      <c r="H9" s="288">
        <f>Вводные!I68/Вводные!I113*100%</f>
        <v>0.57885633669511627</v>
      </c>
      <c r="I9" s="421"/>
      <c r="J9" s="294">
        <f>Вводные!K68/Вводные!K113*100%</f>
        <v>0.12404121548539064</v>
      </c>
      <c r="K9" s="294">
        <f>Вводные!L68/Вводные!L113*100%</f>
        <v>0.13210778397618336</v>
      </c>
      <c r="L9" s="294">
        <f>Вводные!M68/Вводные!M113*100%</f>
        <v>0.17330509126174121</v>
      </c>
      <c r="M9" s="294">
        <f>Вводные!N68/Вводные!N113*100%</f>
        <v>0.21983356481688082</v>
      </c>
      <c r="N9" s="294">
        <f>Вводные!O68/Вводные!O113*100%</f>
        <v>0.27767571114126066</v>
      </c>
      <c r="O9" s="294">
        <f>Вводные!P68/Вводные!P113*100%</f>
        <v>0.34571627459622556</v>
      </c>
      <c r="P9" s="294">
        <f>Вводные!Q68/Вводные!Q113*100%</f>
        <v>0.42477451718860942</v>
      </c>
      <c r="Q9" s="418"/>
      <c r="R9" s="294">
        <f>Вводные!S68/Вводные!S113*100%</f>
        <v>3.5302048346657837E-2</v>
      </c>
      <c r="S9" s="294">
        <f>Вводные!T68/Вводные!T113*100%</f>
        <v>3.897750867202944E-2</v>
      </c>
      <c r="T9" s="294">
        <f>Вводные!U68/Вводные!U113*100%</f>
        <v>0.14639118881611504</v>
      </c>
      <c r="U9" s="294">
        <f>Вводные!V68/Вводные!V113*100%</f>
        <v>0.23372938864834925</v>
      </c>
      <c r="V9" s="294">
        <f>Вводные!W68/Вводные!W113*100%</f>
        <v>0.31627546931193329</v>
      </c>
      <c r="W9" s="294">
        <f>Вводные!X68/Вводные!X113*100%</f>
        <v>0.44778951611522855</v>
      </c>
      <c r="X9" s="294">
        <f>Вводные!Y68/Вводные!Y113*100%</f>
        <v>0.63518780420468823</v>
      </c>
      <c r="Y9" s="421"/>
      <c r="Z9" s="294">
        <f>Вводные!AA68/Вводные!AA113</f>
        <v>0.33103137667016963</v>
      </c>
      <c r="AA9" s="294">
        <f>Вводные!AB68/Вводные!AB113</f>
        <v>0.25079572314165055</v>
      </c>
      <c r="AB9" s="294">
        <f>Вводные!AC68/Вводные!AC113</f>
        <v>0.22416588388271091</v>
      </c>
      <c r="AC9" s="294">
        <f>Вводные!AD68/Вводные!AD113</f>
        <v>0.2076381355751192</v>
      </c>
      <c r="AD9" s="294">
        <f>Вводные!AE68/Вводные!AE113</f>
        <v>0.19585216378064085</v>
      </c>
      <c r="AE9" s="294">
        <f>Вводные!AF68/Вводные!AF113</f>
        <v>0.18674079928924439</v>
      </c>
      <c r="AF9" s="294">
        <f>Вводные!AG68/Вводные!AG113</f>
        <v>0.18712464499393502</v>
      </c>
      <c r="AH9" s="297">
        <f>'Группа компаний Конс.Отчетность'!B30/'Группа компаний Конс.Отчетность'!L3</f>
        <v>0.16295769501421878</v>
      </c>
      <c r="AI9" s="297">
        <f>'Группа компаний Конс.Отчетность'!C30/'Группа компаний Конс.Отчетность'!M3</f>
        <v>0.16927695432110834</v>
      </c>
      <c r="AJ9" s="297">
        <f>'Группа компаний Конс.Отчетность'!D30/'Группа компаний Конс.Отчетность'!N3</f>
        <v>0.21859973989794304</v>
      </c>
      <c r="AK9" s="297">
        <f>'Группа компаний Конс.Отчетность'!E30/'Группа компаний Конс.Отчетность'!O3</f>
        <v>0.27207077950102454</v>
      </c>
      <c r="AL9" s="297">
        <f>'Группа компаний Конс.Отчетность'!F30/'Группа компаний Конс.Отчетность'!P3</f>
        <v>0.3359452031442095</v>
      </c>
      <c r="AM9" s="297">
        <f>'Группа компаний Конс.Отчетность'!G30/'Группа компаний Конс.Отчетность'!Q3</f>
        <v>0.42434585657493828</v>
      </c>
      <c r="AN9" s="297">
        <f>'Группа компаний Конс.Отчетность'!H30/'Группа компаний Конс.Отчетность'!R3</f>
        <v>0.54016929547360426</v>
      </c>
    </row>
    <row r="10" spans="1:40" ht="20" customHeight="1" x14ac:dyDescent="0.2">
      <c r="A10" s="284" t="s">
        <v>194</v>
      </c>
      <c r="B10" s="287"/>
      <c r="C10" s="289"/>
      <c r="D10" s="289"/>
      <c r="E10" s="289"/>
      <c r="F10" s="289"/>
      <c r="G10" s="289"/>
      <c r="H10" s="289"/>
      <c r="I10" s="421"/>
      <c r="J10" s="289"/>
      <c r="K10" s="289"/>
      <c r="L10" s="289"/>
      <c r="M10" s="289"/>
      <c r="N10" s="289"/>
      <c r="O10" s="289"/>
      <c r="P10" s="289"/>
      <c r="Q10" s="418"/>
      <c r="R10" s="289"/>
      <c r="S10" s="289"/>
      <c r="T10" s="289"/>
      <c r="U10" s="289"/>
      <c r="V10" s="289"/>
      <c r="W10" s="289"/>
      <c r="X10" s="289"/>
      <c r="Y10" s="421"/>
      <c r="Z10" s="289"/>
      <c r="AA10" s="289"/>
      <c r="AB10" s="289"/>
      <c r="AC10" s="289"/>
      <c r="AD10" s="289"/>
      <c r="AE10" s="289"/>
      <c r="AF10" s="289"/>
    </row>
    <row r="11" spans="1:40" ht="20" customHeight="1" x14ac:dyDescent="0.2">
      <c r="A11" s="427" t="s">
        <v>195</v>
      </c>
      <c r="B11" s="296">
        <f>Вводные!C123/Вводные!C139</f>
        <v>1.9556249999999999</v>
      </c>
      <c r="C11" s="296">
        <f>Вводные!D123/Вводные!D139</f>
        <v>1.9397927190384952</v>
      </c>
      <c r="D11" s="296">
        <f>Вводные!E123/Вводные!E139</f>
        <v>2.2636515314405155</v>
      </c>
      <c r="E11" s="296">
        <f>Вводные!F123/Вводные!F139</f>
        <v>2.7009388882424665</v>
      </c>
      <c r="F11" s="296">
        <f>Вводные!G123/Вводные!G139</f>
        <v>3.1295845972827032</v>
      </c>
      <c r="G11" s="296">
        <f>Вводные!H123/Вводные!H139</f>
        <v>3.3836029666678278</v>
      </c>
      <c r="H11" s="296">
        <f>Вводные!I123/Вводные!I139</f>
        <v>3.6769210103685421</v>
      </c>
      <c r="I11" s="421"/>
      <c r="J11" s="295">
        <f>Вводные!K123/Вводные!K139</f>
        <v>2.2863924870466317</v>
      </c>
      <c r="K11" s="295">
        <f>Вводные!L123/Вводные!L139</f>
        <v>2.2965464681317465</v>
      </c>
      <c r="L11" s="295">
        <f>Вводные!M123/Вводные!M139</f>
        <v>2.9884997271837861</v>
      </c>
      <c r="M11" s="295">
        <f>Вводные!N123/Вводные!N139</f>
        <v>3.5411880409851162</v>
      </c>
      <c r="N11" s="295">
        <f>Вводные!O123/Вводные!O139</f>
        <v>3.8613365439351708</v>
      </c>
      <c r="O11" s="295">
        <f>Вводные!P123/Вводные!P139</f>
        <v>4.088383553022596</v>
      </c>
      <c r="P11" s="295">
        <f>Вводные!Q123/Вводные!Q139</f>
        <v>4.2571432333528367</v>
      </c>
      <c r="Q11" s="418"/>
      <c r="R11" s="295">
        <f>Вводные!S123/Вводные!S139</f>
        <v>1.7185600000000005</v>
      </c>
      <c r="S11" s="295">
        <f>Вводные!T123/Вводные!T139</f>
        <v>2.2755963302752309</v>
      </c>
      <c r="T11" s="295">
        <f>Вводные!U123/Вводные!U139</f>
        <v>4.0751649191786781</v>
      </c>
      <c r="U11" s="295">
        <f>Вводные!V123/Вводные!V139</f>
        <v>4.5392154323352498</v>
      </c>
      <c r="V11" s="295">
        <f>Вводные!W123/Вводные!W139</f>
        <v>4.4687740563636362</v>
      </c>
      <c r="W11" s="295">
        <f>Вводные!X123/Вводные!X139</f>
        <v>4.3495576473400002</v>
      </c>
      <c r="X11" s="295">
        <f>Вводные!Y123/Вводные!Y139</f>
        <v>4.2990127258733217</v>
      </c>
      <c r="Y11" s="421"/>
      <c r="Z11" s="295">
        <f>Вводные!AA123/Вводные!AA139</f>
        <v>2.2931666666666666</v>
      </c>
      <c r="AA11" s="295">
        <f>Вводные!AB123/Вводные!AB139</f>
        <v>2.3043936875712081</v>
      </c>
      <c r="AB11" s="295">
        <f>Вводные!AC123/Вводные!AC139</f>
        <v>2.505488041819826</v>
      </c>
      <c r="AC11" s="295">
        <f>Вводные!AD123/Вводные!AD139</f>
        <v>2.7487460673476036</v>
      </c>
      <c r="AD11" s="295">
        <f>Вводные!AE123/Вводные!AE139</f>
        <v>3.0237081147443101</v>
      </c>
      <c r="AE11" s="295">
        <f>Вводные!AF123/Вводные!AF139</f>
        <v>3.329730130538159</v>
      </c>
      <c r="AF11" s="295">
        <f>Вводные!AG123/Вводные!AG139</f>
        <v>3.5107175436642395</v>
      </c>
      <c r="AH11" s="298">
        <f>'Группа компаний Конс.Отчетность'!L13/'Группа компаний Конс.Отчетность'!L30</f>
        <v>2.0886358279316437</v>
      </c>
      <c r="AI11" s="298">
        <f>'Группа компаний Конс.Отчетность'!M13/'Группа компаний Конс.Отчетность'!M30</f>
        <v>2.1495597530705752</v>
      </c>
      <c r="AJ11" s="298">
        <f>'Группа компаний Конс.Отчетность'!N13/'Группа компаний Конс.Отчетность'!N30</f>
        <v>2.7983196826588754</v>
      </c>
      <c r="AK11" s="298">
        <f>'Группа компаний Конс.Отчетность'!O13/'Группа компаний Конс.Отчетность'!O30</f>
        <v>3.438049282565403</v>
      </c>
      <c r="AL11" s="298">
        <f>'Группа компаний Конс.Отчетность'!P13/'Группа компаний Конс.Отчетность'!P30</f>
        <v>3.8211161028727281</v>
      </c>
      <c r="AM11" s="298">
        <f>'Группа компаний Конс.Отчетность'!Q13/'Группа компаний Конс.Отчетность'!Q30</f>
        <v>4.0096608894609034</v>
      </c>
      <c r="AN11" s="298">
        <f>'Группа компаний Конс.Отчетность'!R13/'Группа компаний Конс.Отчетность'!R30</f>
        <v>4.1528531506306035</v>
      </c>
    </row>
    <row r="12" spans="1:40" ht="20" customHeight="1" x14ac:dyDescent="0.2">
      <c r="A12" s="291" t="s">
        <v>196</v>
      </c>
      <c r="B12" s="296">
        <f>Вводные!C123/Вводные!C139</f>
        <v>1.9556249999999999</v>
      </c>
      <c r="C12" s="296">
        <f>Вводные!D123/Вводные!D139</f>
        <v>1.9397927190384952</v>
      </c>
      <c r="D12" s="296">
        <f>Вводные!E123/Вводные!E139</f>
        <v>2.2636515314405155</v>
      </c>
      <c r="E12" s="296">
        <f>Вводные!F123/Вводные!F139</f>
        <v>2.7009388882424665</v>
      </c>
      <c r="F12" s="296">
        <f>Вводные!G123/Вводные!G139</f>
        <v>3.1295845972827032</v>
      </c>
      <c r="G12" s="296">
        <f>Вводные!H123/Вводные!H139</f>
        <v>3.3836029666678278</v>
      </c>
      <c r="H12" s="296">
        <f>Вводные!I123/Вводные!I139</f>
        <v>3.6769210103685421</v>
      </c>
      <c r="I12" s="421"/>
      <c r="J12" s="295">
        <f>Вводные!K123/Вводные!K139</f>
        <v>2.2863924870466317</v>
      </c>
      <c r="K12" s="295">
        <f>Вводные!L123/Вводные!L139</f>
        <v>2.2965464681317465</v>
      </c>
      <c r="L12" s="295">
        <f>Вводные!M123/Вводные!M139</f>
        <v>2.9884997271837861</v>
      </c>
      <c r="M12" s="295">
        <f>Вводные!N123/Вводные!N139</f>
        <v>3.5411880409851162</v>
      </c>
      <c r="N12" s="295">
        <f>Вводные!O123/Вводные!O139</f>
        <v>3.8613365439351708</v>
      </c>
      <c r="O12" s="295">
        <f>Вводные!P123/Вводные!P139</f>
        <v>4.088383553022596</v>
      </c>
      <c r="P12" s="295">
        <f>Вводные!Q123/Вводные!Q139</f>
        <v>4.2571432333528367</v>
      </c>
      <c r="Q12" s="418"/>
      <c r="R12" s="295">
        <f>Вводные!S123/Вводные!S139</f>
        <v>1.7185600000000005</v>
      </c>
      <c r="S12" s="295">
        <f>Вводные!T123/Вводные!T139</f>
        <v>2.2755963302752309</v>
      </c>
      <c r="T12" s="295">
        <f>Вводные!U123/Вводные!U139</f>
        <v>4.0751649191786781</v>
      </c>
      <c r="U12" s="295">
        <f>Вводные!V123/Вводные!V139</f>
        <v>4.5392154323352498</v>
      </c>
      <c r="V12" s="295">
        <f>Вводные!W123/Вводные!W139</f>
        <v>4.4687740563636362</v>
      </c>
      <c r="W12" s="295">
        <f>Вводные!X123/Вводные!X139</f>
        <v>4.3495576473400002</v>
      </c>
      <c r="X12" s="295">
        <f>Вводные!Y123/Вводные!Y139</f>
        <v>4.2990127258733217</v>
      </c>
      <c r="Y12" s="421"/>
      <c r="Z12" s="295">
        <f>Вводные!AA123/Вводные!AA139</f>
        <v>2.2931666666666666</v>
      </c>
      <c r="AA12" s="295">
        <f>Вводные!AB123/Вводные!AB139</f>
        <v>2.3043936875712081</v>
      </c>
      <c r="AB12" s="295">
        <f>Вводные!AC123/Вводные!AC139</f>
        <v>2.505488041819826</v>
      </c>
      <c r="AC12" s="295">
        <f>Вводные!AD123/Вводные!AD139</f>
        <v>2.7487460673476036</v>
      </c>
      <c r="AD12" s="295">
        <f>Вводные!AE123/Вводные!AE139</f>
        <v>3.0237081147443101</v>
      </c>
      <c r="AE12" s="295">
        <f>Вводные!AF123/Вводные!AF139</f>
        <v>3.329730130538159</v>
      </c>
      <c r="AF12" s="295">
        <f>Вводные!AG123/Вводные!AG139</f>
        <v>3.5107175436642395</v>
      </c>
      <c r="AH12" s="298">
        <f>'Группа компаний Конс.Отчетность'!L13/'Группа компаний Конс.Отчетность'!L30</f>
        <v>2.0886358279316437</v>
      </c>
      <c r="AI12" s="298">
        <f>'Группа компаний Конс.Отчетность'!M13/'Группа компаний Конс.Отчетность'!M30</f>
        <v>2.1495597530705752</v>
      </c>
      <c r="AJ12" s="298">
        <f>'Группа компаний Конс.Отчетность'!N13/'Группа компаний Конс.Отчетность'!N30</f>
        <v>2.7983196826588754</v>
      </c>
      <c r="AK12" s="298">
        <f>'Группа компаний Конс.Отчетность'!O13/'Группа компаний Конс.Отчетность'!O30</f>
        <v>3.438049282565403</v>
      </c>
      <c r="AL12" s="298">
        <f>'Группа компаний Конс.Отчетность'!P13/'Группа компаний Конс.Отчетность'!P30</f>
        <v>3.8211161028727281</v>
      </c>
      <c r="AM12" s="298">
        <f>'Группа компаний Конс.Отчетность'!Q13/'Группа компаний Конс.Отчетность'!Q30</f>
        <v>4.0096608894609034</v>
      </c>
      <c r="AN12" s="298">
        <f>'Группа компаний Конс.Отчетность'!R13/'Группа компаний Конс.Отчетность'!R30</f>
        <v>4.1528531506306035</v>
      </c>
    </row>
    <row r="13" spans="1:40" ht="20" customHeight="1" x14ac:dyDescent="0.2">
      <c r="A13" s="291" t="s">
        <v>197</v>
      </c>
      <c r="B13" s="296">
        <f>Вводные!C125/Вводные!C139</f>
        <v>1.6681250000000001</v>
      </c>
      <c r="C13" s="296">
        <f>Вводные!D125/Вводные!D139</f>
        <v>1.5227921964814493</v>
      </c>
      <c r="D13" s="296">
        <f>Вводные!E125/Вводные!E139</f>
        <v>1.8591610245601811</v>
      </c>
      <c r="E13" s="296">
        <f>Вводные!F125/Вводные!F139</f>
        <v>2.3085830965685421</v>
      </c>
      <c r="F13" s="296">
        <f>Вводные!G125/Вводные!G139</f>
        <v>2.7489994793589965</v>
      </c>
      <c r="G13" s="296">
        <f>Вводные!H125/Вводные!H139</f>
        <v>3.0144354022818325</v>
      </c>
      <c r="H13" s="296">
        <f>Вводные!I125/Вводные!I139</f>
        <v>3.318828472914126</v>
      </c>
      <c r="I13" s="421"/>
      <c r="J13" s="295">
        <f>Вводные!K125/Вводные!K139</f>
        <v>1.612817357512953</v>
      </c>
      <c r="K13" s="295">
        <f>Вводные!L125/Вводные!L139</f>
        <v>1.622723816625687</v>
      </c>
      <c r="L13" s="295">
        <f>Вводные!M125/Вводные!M139</f>
        <v>2.3652407414188703</v>
      </c>
      <c r="M13" s="295">
        <f>Вводные!N125/Вводные!N139</f>
        <v>2.9649469733078346</v>
      </c>
      <c r="N13" s="295">
        <f>Вводные!O125/Вводные!O139</f>
        <v>3.3287771544758882</v>
      </c>
      <c r="O13" s="295">
        <f>Вводные!P125/Вводные!P139</f>
        <v>3.5963730414614754</v>
      </c>
      <c r="P13" s="295">
        <f>Вводные!Q125/Вводные!Q139</f>
        <v>3.8027452046388048</v>
      </c>
      <c r="Q13" s="418"/>
      <c r="R13" s="295">
        <f>Вводные!S125/Вводные!S139</f>
        <v>1.7185600000000005</v>
      </c>
      <c r="S13" s="295">
        <f>Вводные!T125/Вводные!T139</f>
        <v>2.2755963302752309</v>
      </c>
      <c r="T13" s="295">
        <f>Вводные!U125/Вводные!U139</f>
        <v>4.0751649191786781</v>
      </c>
      <c r="U13" s="295">
        <f>Вводные!V125/Вводные!V139</f>
        <v>4.5392154323352498</v>
      </c>
      <c r="V13" s="295">
        <f>Вводные!W125/Вводные!W139</f>
        <v>4.4687740563636362</v>
      </c>
      <c r="W13" s="295">
        <f>Вводные!X125/Вводные!X139</f>
        <v>4.3495576473400002</v>
      </c>
      <c r="X13" s="295">
        <f>Вводные!Y125/Вводные!Y139</f>
        <v>4.2990127258733217</v>
      </c>
      <c r="Y13" s="421"/>
      <c r="Z13" s="295">
        <f>Вводные!AA125/Вводные!AA139</f>
        <v>2.2265000000000001</v>
      </c>
      <c r="AA13" s="295">
        <f>Вводные!AB125/Вводные!AB139</f>
        <v>2.19907237380475</v>
      </c>
      <c r="AB13" s="295">
        <f>Вводные!AC125/Вводные!AC139</f>
        <v>2.4451793887817748</v>
      </c>
      <c r="AC13" s="295">
        <f>Вводные!AD125/Вводные!AD139</f>
        <v>2.7064948956427677</v>
      </c>
      <c r="AD13" s="295">
        <f>Вводные!AE125/Вводные!AE139</f>
        <v>2.9911926503126178</v>
      </c>
      <c r="AE13" s="295">
        <f>Вводные!AF125/Вводные!AF139</f>
        <v>3.3033039149665764</v>
      </c>
      <c r="AF13" s="295">
        <f>Вводные!AG125/Вводные!AG139</f>
        <v>3.4884596223066286</v>
      </c>
      <c r="AH13" s="298">
        <f>'Группа компаний Конс.Отчетность'!L15/'Группа компаний Конс.Отчетность'!L30</f>
        <v>1.646679434295816</v>
      </c>
      <c r="AI13" s="298">
        <f>'Группа компаний Конс.Отчетность'!M15/'Группа компаний Конс.Отчетность'!M30</f>
        <v>1.6071731600729691</v>
      </c>
      <c r="AJ13" s="298">
        <f>'Группа компаний Конс.Отчетность'!N15/'Группа компаний Конс.Отчетность'!N30</f>
        <v>2.3034221726027844</v>
      </c>
      <c r="AK13" s="298">
        <f>'Группа компаний Конс.Отчетность'!O15/'Группа компаний Конс.Отчетность'!O30</f>
        <v>3.0159236512286047</v>
      </c>
      <c r="AL13" s="298">
        <f>'Группа компаний Конс.Отчетность'!P15/'Группа компаний Конс.Отчетность'!P30</f>
        <v>3.4663310736796964</v>
      </c>
      <c r="AM13" s="298">
        <f>'Группа компаний Конс.Отчетность'!Q15/'Группа компаний Конс.Отчетность'!Q30</f>
        <v>3.7043768468468472</v>
      </c>
      <c r="AN13" s="298">
        <f>'Группа компаний Конс.Отчетность'!R15/'Группа компаний Конс.Отчетность'!R30</f>
        <v>3.8809713112771713</v>
      </c>
    </row>
    <row r="14" spans="1:40" ht="20" customHeight="1" x14ac:dyDescent="0.2">
      <c r="A14" s="284" t="s">
        <v>198</v>
      </c>
      <c r="B14" s="296"/>
      <c r="C14" s="295"/>
      <c r="D14" s="295"/>
      <c r="E14" s="295"/>
      <c r="F14" s="295"/>
      <c r="G14" s="295"/>
      <c r="H14" s="295"/>
      <c r="I14" s="421"/>
      <c r="J14" s="295"/>
      <c r="K14" s="295"/>
      <c r="L14" s="295"/>
      <c r="M14" s="295"/>
      <c r="N14" s="295"/>
      <c r="O14" s="295"/>
      <c r="P14" s="295"/>
      <c r="Q14" s="418"/>
      <c r="R14" s="293"/>
      <c r="S14" s="293"/>
      <c r="T14" s="293"/>
      <c r="U14" s="293"/>
      <c r="V14" s="293"/>
      <c r="W14" s="293"/>
      <c r="X14" s="293"/>
      <c r="Y14" s="421"/>
      <c r="Z14" s="293"/>
      <c r="AA14" s="293"/>
      <c r="AB14" s="293"/>
      <c r="AC14" s="293"/>
      <c r="AD14" s="293"/>
      <c r="AE14" s="293"/>
      <c r="AF14" s="293"/>
    </row>
    <row r="15" spans="1:40" ht="20" customHeight="1" x14ac:dyDescent="0.2">
      <c r="A15" s="287" t="s">
        <v>199</v>
      </c>
      <c r="B15" s="296">
        <f>Вводные!C129/Вводные!C113</f>
        <v>0.86070251515178786</v>
      </c>
      <c r="C15" s="296">
        <f>Вводные!D129/Вводные!D113</f>
        <v>0.89180138914643736</v>
      </c>
      <c r="D15" s="296">
        <f>Вводные!E129/Вводные!E113</f>
        <v>0.90965831115843621</v>
      </c>
      <c r="E15" s="296">
        <f>Вводные!F129/Вводные!F113</f>
        <v>0.91137813138217105</v>
      </c>
      <c r="F15" s="296">
        <f>Вводные!G129/Вводные!G113</f>
        <v>0.91288930518593336</v>
      </c>
      <c r="G15" s="296">
        <f>Вводные!H129/Вводные!H113</f>
        <v>0.91299552554341423</v>
      </c>
      <c r="H15" s="296">
        <f>Вводные!I129/Вводные!I113</f>
        <v>0.91330252106619025</v>
      </c>
      <c r="I15" s="421"/>
      <c r="J15" s="295">
        <f>Вводные!K129/Вводные!K113</f>
        <v>0.69725786928893851</v>
      </c>
      <c r="K15" s="295">
        <f>Вводные!L129/Вводные!L113</f>
        <v>0.6982302387478595</v>
      </c>
      <c r="L15" s="295">
        <f>Вводные!M129/Вводные!M113</f>
        <v>0.71097298253229857</v>
      </c>
      <c r="M15" s="295">
        <f>Вводные!N129/Вводные!N113</f>
        <v>0.71992147219285019</v>
      </c>
      <c r="N15" s="295">
        <f>Вводные!O129/Вводные!O113</f>
        <v>0.72114936049035139</v>
      </c>
      <c r="O15" s="295">
        <f>Вводные!P129/Вводные!P113</f>
        <v>0.71996204775300809</v>
      </c>
      <c r="P15" s="295">
        <f>Вводные!Q129/Вводные!Q113</f>
        <v>0.71747660696877325</v>
      </c>
      <c r="Q15" s="418"/>
      <c r="R15" s="295">
        <f>Вводные!S129/Вводные!S113</f>
        <v>0.68364161029377002</v>
      </c>
      <c r="S15" s="295">
        <f>Вводные!T129/Вводные!T113</f>
        <v>0.7112431773818555</v>
      </c>
      <c r="T15" s="295">
        <f>Вводные!U129/Вводные!U113</f>
        <v>0.7535335034506695</v>
      </c>
      <c r="U15" s="295">
        <f>Вводные!V129/Вводные!V113</f>
        <v>0.75999963727282804</v>
      </c>
      <c r="V15" s="295">
        <f>Вводные!W129/Вводные!W113</f>
        <v>0.75874546647769825</v>
      </c>
      <c r="W15" s="295">
        <f>Вводные!X129/Вводные!X113</f>
        <v>0.75390734575018625</v>
      </c>
      <c r="X15" s="295">
        <f>Вводные!Y129/Вводные!Y113</f>
        <v>0.75038656425678951</v>
      </c>
      <c r="Y15" s="421"/>
      <c r="Z15" s="295">
        <f>Вводные!AA129/Вводные!AA113</f>
        <v>0.69974478306560572</v>
      </c>
      <c r="AA15" s="295">
        <f>Вводные!AB129/Вводные!AB113</f>
        <v>0.71082122123903879</v>
      </c>
      <c r="AB15" s="295">
        <f>Вводные!AC129/Вводные!AC113</f>
        <v>0.67774670768506584</v>
      </c>
      <c r="AC15" s="295">
        <f>Вводные!AD129/Вводные!AD113</f>
        <v>0.6796504363445216</v>
      </c>
      <c r="AD15" s="295">
        <f>Вводные!AE129/Вводные!AE113</f>
        <v>0.69455668584346364</v>
      </c>
      <c r="AE15" s="295">
        <f>Вводные!AF129/Вводные!AF113</f>
        <v>0.71445408547972067</v>
      </c>
      <c r="AF15" s="295">
        <f>Вводные!AG129/Вводные!AG113</f>
        <v>0.72441836051716135</v>
      </c>
      <c r="AH15" s="299">
        <f>'Группа компаний Конс.Отчетность'!L19/'Группа компаний Конс.Отчетность'!L3</f>
        <v>0.77377032941051138</v>
      </c>
      <c r="AI15" s="299">
        <f>'Группа компаний Конс.Отчетность'!M19/'Группа компаний Конс.Отчетность'!M3</f>
        <v>0.79213635764498702</v>
      </c>
      <c r="AJ15" s="299">
        <f>'Группа компаний Конс.Отчетность'!N19/'Группа компаний Конс.Отчетность'!N3</f>
        <v>0.80395426829107952</v>
      </c>
      <c r="AK15" s="299">
        <f>'Группа компаний Конс.Отчетность'!O19/'Группа компаний Конс.Отчетность'!O3</f>
        <v>0.80566703652229987</v>
      </c>
      <c r="AL15" s="299">
        <f>'Группа компаний Конс.Отчетность'!P19/'Группа компаний Конс.Отчетность'!P3</f>
        <v>0.80364018313260155</v>
      </c>
      <c r="AM15" s="299">
        <f>'Группа компаний Конс.Отчетность'!Q19/'Группа компаний Конс.Отчетность'!Q3</f>
        <v>0.79944677082072124</v>
      </c>
      <c r="AN15" s="299">
        <f>'Группа компаний Конс.Отчетность'!R19/'Группа компаний Конс.Отчетность'!R3</f>
        <v>0.79581638651924014</v>
      </c>
    </row>
    <row r="16" spans="1:40" ht="20" customHeight="1" x14ac:dyDescent="0.2">
      <c r="A16" s="287" t="s">
        <v>200</v>
      </c>
      <c r="B16" s="296">
        <f>(Вводные!C129+Вводные!C136)/Вводные!C113</f>
        <v>0.88004522295094756</v>
      </c>
      <c r="C16" s="296">
        <f>(Вводные!D129+Вводные!D136)/Вводные!D113</f>
        <v>0.91165293345039067</v>
      </c>
      <c r="D16" s="296">
        <f>(Вводные!E129+Вводные!E136)/Вводные!E113</f>
        <v>0.91174891345182929</v>
      </c>
      <c r="E16" s="296">
        <f>(Вводные!F129+Вводные!F136)/Вводные!F113</f>
        <v>0.91342893521701141</v>
      </c>
      <c r="F16" s="296">
        <f>(Вводные!G129+Вводные!G136)/Вводные!G113</f>
        <v>0.91490513885764779</v>
      </c>
      <c r="G16" s="296">
        <f>(Вводные!H129+Вводные!H136)/Вводные!H113</f>
        <v>0.9150089011658169</v>
      </c>
      <c r="H16" s="296">
        <f>(Вводные!I129+Вводные!I136)/Вводные!I113</f>
        <v>0.91530879248723274</v>
      </c>
      <c r="I16" s="421"/>
      <c r="J16" s="295">
        <f>(Вводные!K129+Вводные!K136)/Вводные!K113</f>
        <v>0.85590818439646144</v>
      </c>
      <c r="K16" s="295">
        <f>(Вводные!L129+Вводные!L136)/Вводные!L113</f>
        <v>0.85631494834666266</v>
      </c>
      <c r="L16" s="295">
        <f>(Вводные!M129+Вводные!M136)/Вводные!M113</f>
        <v>0.85586068693604855</v>
      </c>
      <c r="M16" s="295">
        <f>(Вводные!N129+Вводные!N136)/Вводные!N113</f>
        <v>0.85397203436746683</v>
      </c>
      <c r="N16" s="295">
        <f>(Вводные!O129+Вводные!O136)/Вводные!O113</f>
        <v>0.84828587876791262</v>
      </c>
      <c r="O16" s="295">
        <f>(Вводные!P129+Вводные!P136)/Вводные!P113</f>
        <v>0.84131247238617846</v>
      </c>
      <c r="P16" s="295">
        <f>(Вводные!Q129+Вводные!Q136)/Вводные!Q113</f>
        <v>0.83357512355309393</v>
      </c>
      <c r="Q16" s="418"/>
      <c r="R16" s="295">
        <f>(Вводные!S129+Вводные!S136)/Вводные!S113</f>
        <v>0.92608448838639501</v>
      </c>
      <c r="S16" s="295">
        <f>(Вводные!T129+Вводные!T136)/Вводные!T113</f>
        <v>0.96612002834727928</v>
      </c>
      <c r="T16" s="295">
        <f>(Вводные!U129+Вводные!U136)/Вводные!U113</f>
        <v>0.9392656033371275</v>
      </c>
      <c r="U16" s="295">
        <f>(Вводные!V129+Вводные!V136)/Вводные!V113</f>
        <v>0.88971553969043082</v>
      </c>
      <c r="V16" s="295">
        <f>(Вводные!W129+Вводные!W136)/Вводные!W113</f>
        <v>0.85256667393774432</v>
      </c>
      <c r="W16" s="295">
        <f>(Вводные!X129+Вводные!X136)/Вводные!X113</f>
        <v>0.82880511008812818</v>
      </c>
      <c r="X16" s="295">
        <f>(Вводные!Y129+Вводные!Y136)/Вводные!Y113</f>
        <v>0.81510115867459987</v>
      </c>
      <c r="Y16" s="421"/>
      <c r="Z16" s="295">
        <f>(Вводные!AA129+Вводные!AA136)/Вводные!AA113</f>
        <v>0.69974478306560572</v>
      </c>
      <c r="AA16" s="295">
        <f>(Вводные!AB129+Вводные!AB136)/Вводные!AB113</f>
        <v>0.71082122123903879</v>
      </c>
      <c r="AB16" s="295">
        <f>(Вводные!AC129+Вводные!AC136)/Вводные!AC113</f>
        <v>0.67774670768506584</v>
      </c>
      <c r="AC16" s="295">
        <f>(Вводные!AD129+Вводные!AD136)/Вводные!AD113</f>
        <v>0.6796504363445216</v>
      </c>
      <c r="AD16" s="295">
        <f>(Вводные!AE129+Вводные!AE136)/Вводные!AE113</f>
        <v>0.69455668584346364</v>
      </c>
      <c r="AE16" s="295">
        <f>(Вводные!AF129+Вводные!AF136)/Вводные!AF113</f>
        <v>0.71445408547972067</v>
      </c>
      <c r="AF16" s="295">
        <f>(Вводные!AG129+Вводные!AG136)/Вводные!AG113</f>
        <v>0.72441836051716135</v>
      </c>
      <c r="AH16" s="299">
        <f>('Группа компаний Конс.Отчетность'!L19+'Группа компаний Конс.Отчетность'!L27)/'Группа компаний Конс.Отчетность'!L3</f>
        <v>0.87312896530391204</v>
      </c>
      <c r="AI16" s="299">
        <f>('Группа компаний Конс.Отчетность'!M19+'Группа компаний Конс.Отчетность'!M27)/'Группа компаний Конс.Отчетность'!M3</f>
        <v>0.89332063377459203</v>
      </c>
      <c r="AJ16" s="299">
        <f>('Группа компаний Конс.Отчетность'!N19+'Группа компаний Конс.Отчетность'!N27)/'Группа компаний Конс.Отчетность'!N3</f>
        <v>0.89054157765372643</v>
      </c>
      <c r="AK16" s="299">
        <f>('Группа компаний Конс.Отчетность'!O19+'Группа компаний Конс.Отчетность'!O27)/'Группа компаний Конс.Отчетность'!O3</f>
        <v>0.88398834395668036</v>
      </c>
      <c r="AL16" s="299">
        <f>('Группа компаний Конс.Отчетность'!P19+'Группа компаний Конс.Отчетность'!P27)/'Группа компаний Конс.Отчетность'!P3</f>
        <v>0.8747323410912905</v>
      </c>
      <c r="AM16" s="299">
        <f>('Группа компаний Конс.Отчетность'!Q19+'Группа компаний Конс.Отчетность'!Q27)/'Группа компаний Конс.Отчетность'!Q3</f>
        <v>0.86524195753530564</v>
      </c>
      <c r="AN16" s="299">
        <f>('Группа компаний Конс.Отчетность'!R19+'Группа компаний Конс.Отчетность'!R27)/'Группа компаний Конс.Отчетность'!R3</f>
        <v>0.85767047331904711</v>
      </c>
    </row>
    <row r="17" spans="1:40" ht="20" customHeight="1" x14ac:dyDescent="0.2">
      <c r="A17" s="292" t="s">
        <v>201</v>
      </c>
      <c r="B17" s="296">
        <f>(Вводные!C123-Вводные!C139)/Вводные!C123</f>
        <v>0.48865452221156919</v>
      </c>
      <c r="C17" s="296">
        <f>(Вводные!D123-Вводные!D139)/Вводные!D123</f>
        <v>0.48448100140530787</v>
      </c>
      <c r="D17" s="296">
        <f>(Вводные!E123-Вводные!E139)/Вводные!E123</f>
        <v>0.55823589182755884</v>
      </c>
      <c r="E17" s="296">
        <f>(Вводные!F123-Вводные!F139)/Вводные!F123</f>
        <v>0.62975837611390306</v>
      </c>
      <c r="F17" s="296">
        <f>(Вводные!G123-Вводные!G139)/Вводные!G123</f>
        <v>0.68046877503542769</v>
      </c>
      <c r="G17" s="296">
        <f>(Вводные!H123-Вводные!H139)/Вводные!H123</f>
        <v>0.70445705070864151</v>
      </c>
      <c r="H17" s="296">
        <f>(Вводные!I123-Вводные!I139)/Вводные!I123</f>
        <v>0.72803331994891862</v>
      </c>
      <c r="I17" s="421"/>
      <c r="J17" s="295">
        <f>(Вводные!K123-Вводные!K139)/Вводные!K123</f>
        <v>0.56262977346828347</v>
      </c>
      <c r="K17" s="295">
        <f>(Вводные!L123-Вводные!L139)/Вводные!L123</f>
        <v>0.56456356800239027</v>
      </c>
      <c r="L17" s="295">
        <f>(Вводные!M123-Вводные!M139)/Вводные!M123</f>
        <v>0.66538394134559598</v>
      </c>
      <c r="M17" s="295">
        <f>(Вводные!N123-Вводные!N139)/Вводные!N123</f>
        <v>0.71760889610318124</v>
      </c>
      <c r="N17" s="295">
        <f>(Вводные!O123-Вводные!O139)/Вводные!O123</f>
        <v>0.74102231478096481</v>
      </c>
      <c r="O17" s="295">
        <f>(Вводные!P123-Вводные!P139)/Вводные!P123</f>
        <v>0.75540455365038184</v>
      </c>
      <c r="P17" s="295">
        <f>(Вводные!Q123-Вводные!Q139)/Вводные!Q123</f>
        <v>0.76510069189933716</v>
      </c>
      <c r="Q17" s="418"/>
      <c r="R17" s="295">
        <f>(Вводные!S123-Вводные!S139)/Вводные!S123</f>
        <v>0.41811749371566914</v>
      </c>
      <c r="S17" s="295">
        <f>(Вводные!T123-Вводные!T139)/Вводные!T123</f>
        <v>0.56055474923399473</v>
      </c>
      <c r="T17" s="295">
        <f>(Вводные!U123-Вводные!U139)/Вводные!U123</f>
        <v>0.75461115811687363</v>
      </c>
      <c r="U17" s="295">
        <f>(Вводные!V123-Вводные!V139)/Вводные!V123</f>
        <v>0.77969761186559527</v>
      </c>
      <c r="V17" s="295">
        <f>(Вводные!W123-Вводные!W139)/Вводные!W123</f>
        <v>0.77622498085890534</v>
      </c>
      <c r="W17" s="295">
        <f>(Вводные!X123-Вводные!X139)/Вводные!X123</f>
        <v>0.77009156307847615</v>
      </c>
      <c r="X17" s="295">
        <f>(Вводные!Y123-Вводные!Y139)/Вводные!Y123</f>
        <v>0.76738845317168602</v>
      </c>
      <c r="Y17" s="421"/>
      <c r="Z17" s="295">
        <f>(Вводные!AA123-Вводные!AA139)/Вводные!AA123</f>
        <v>0.56392179664219788</v>
      </c>
      <c r="AA17" s="295">
        <f>(Вводные!AB123-Вводные!AB139)/Вводные!AB123</f>
        <v>0.56604637246078249</v>
      </c>
      <c r="AB17" s="295">
        <f>(Вводные!AC123-Вводные!AC139)/Вводные!AC123</f>
        <v>0.60087616332278959</v>
      </c>
      <c r="AC17" s="295">
        <f>(Вводные!AD123-Вводные!AD139)/Вводные!AD123</f>
        <v>0.63619775144782731</v>
      </c>
      <c r="AD17" s="295">
        <f>(Вводные!AE123-Вводные!AE139)/Вводные!AE123</f>
        <v>0.66928024728188362</v>
      </c>
      <c r="AE17" s="295">
        <f>(Вводные!AF123-Вводные!AF139)/Вводные!AF123</f>
        <v>0.69967536082620074</v>
      </c>
      <c r="AF17" s="295">
        <f>(Вводные!AG123-Вводные!AG139)/Вводные!AG123</f>
        <v>0.71515794490368756</v>
      </c>
      <c r="AH17" s="299">
        <f>('Группа компаний Конс.Отчетность'!L13-'Группа компаний Конс.Отчетность'!L30)/'Группа компаний Конс.Отчетность'!L13</f>
        <v>0.5212185931952098</v>
      </c>
      <c r="AI17" s="299">
        <f>('Группа компаний Конс.Отчетность'!M13-'Группа компаний Конс.Отчетность'!M30)/'Группа компаний Конс.Отчетность'!M13</f>
        <v>0.53478846141795644</v>
      </c>
      <c r="AJ17" s="299">
        <f>('Группа компаний Конс.Отчетность'!N13-'Группа компаний Конс.Отчетность'!N30)/'Группа компаний Конс.Отчетность'!N13</f>
        <v>0.64264268796843416</v>
      </c>
      <c r="AK17" s="299">
        <f>('Группа компаний Конс.Отчетность'!O13-'Группа компаний Конс.Отчетность'!O30)/'Группа компаний Конс.Отчетность'!O13</f>
        <v>0.70913738640365853</v>
      </c>
      <c r="AL17" s="299">
        <f>('Группа компаний Конс.Отчетность'!P13-'Группа компаний Конс.Отчетность'!P30)/'Группа компаний Конс.Отчетность'!P13</f>
        <v>0.73829635816399386</v>
      </c>
      <c r="AM17" s="299">
        <f>('Группа компаний Конс.Отчетность'!Q13-'Группа компаний Конс.Отчетность'!Q30)/'Группа компаний Конс.Отчетность'!Q13</f>
        <v>0.7506023507802303</v>
      </c>
      <c r="AN17" s="299">
        <f>('Группа компаний Конс.Отчетность'!R13-'Группа компаний Конс.Отчетность'!R30)/'Группа компаний Конс.Отчетность'!R13</f>
        <v>0.75920169490025147</v>
      </c>
    </row>
    <row r="18" spans="1:40" ht="20" customHeight="1" x14ac:dyDescent="0.2">
      <c r="A18" s="287" t="s">
        <v>202</v>
      </c>
      <c r="B18" s="296">
        <f>(Вводные!C123-Вводные!C139)/Вводные!C129</f>
        <v>0.13318397680908958</v>
      </c>
      <c r="C18" s="296">
        <f>(Вводные!D123-Вводные!D139)/Вводные!D129</f>
        <v>9.3101368648012536E-2</v>
      </c>
      <c r="D18" s="296">
        <f>(Вводные!E123-Вводные!E139)/Вводные!E129</f>
        <v>0.12259396661480056</v>
      </c>
      <c r="E18" s="296">
        <f>(Вводные!F123-Вводные!F139)/Вводные!F129</f>
        <v>0.16157079666736493</v>
      </c>
      <c r="F18" s="296">
        <f>(Вводные!G123-Вводные!G139)/Вводные!G129</f>
        <v>0.19850895883270039</v>
      </c>
      <c r="G18" s="296">
        <f>(Вводные!H123-Вводные!H139)/Вводные!H129</f>
        <v>0.22189050194906978</v>
      </c>
      <c r="H18" s="296">
        <f>(Вводные!I123-Вводные!I139)/Вводные!I129</f>
        <v>0.24823283378991098</v>
      </c>
      <c r="I18" s="422"/>
      <c r="J18" s="295">
        <f>(Вводные!K123-Вводные!K139)/Вводные!K129</f>
        <v>0.2658394221155635</v>
      </c>
      <c r="K18" s="295">
        <f>(Вводные!L123-Вводные!L139)/Вводные!L129</f>
        <v>0.26680933572244497</v>
      </c>
      <c r="L18" s="295">
        <f>(Вводные!M123-Вводные!M139)/Вводные!M129</f>
        <v>0.4031390670554289</v>
      </c>
      <c r="M18" s="295">
        <f>(Вводные!N123-Вводные!N139)/Вводные!N129</f>
        <v>0.5154513850608099</v>
      </c>
      <c r="N18" s="295">
        <f>(Вводные!O123-Вводные!O139)/Вводные!O129</f>
        <v>0.60196289874035258</v>
      </c>
      <c r="O18" s="295">
        <f>(Вводные!P123-Вводные!P139)/Вводные!P129</f>
        <v>0.68071359023735201</v>
      </c>
      <c r="P18" s="295">
        <f>(Вводные!Q123-Вводные!Q139)/Вводные!Q129</f>
        <v>0.75552241714623247</v>
      </c>
      <c r="Q18" s="419"/>
      <c r="R18" s="295">
        <f>(Вводные!S123-Вводные!S139)/Вводные!S129</f>
        <v>7.7690897138705362E-2</v>
      </c>
      <c r="S18" s="295">
        <f>(Вводные!T123-Вводные!T139)/Вводные!T129</f>
        <v>6.0762857042967564E-2</v>
      </c>
      <c r="T18" s="295">
        <f>(Вводные!U123-Вводные!U139)/Вводные!U129</f>
        <v>0.24785664492670134</v>
      </c>
      <c r="U18" s="295">
        <f>(Вводные!V123-Вводные!V139)/Вводные!V129</f>
        <v>0.51357980250184609</v>
      </c>
      <c r="V18" s="295">
        <f>(Вводные!W123-Вводные!W139)/Вводные!W129</f>
        <v>0.67402431895415826</v>
      </c>
      <c r="W18" s="295">
        <f>(Вводные!X123-Вводные!X139)/Вводные!X129</f>
        <v>0.76060693125454493</v>
      </c>
      <c r="X18" s="295">
        <f>(Вводные!Y123-Вводные!Y139)/Вводные!Y129</f>
        <v>0.81289252653602895</v>
      </c>
      <c r="Y18" s="422"/>
      <c r="Z18" s="295">
        <f>(Вводные!AA123-Вводные!AA139)/Вводные!AA129</f>
        <v>0.55488807838089105</v>
      </c>
      <c r="AA18" s="295">
        <f>(Вводные!AB123-Вводные!AB139)/Вводные!AB129</f>
        <v>0.5306580053341633</v>
      </c>
      <c r="AB18" s="295">
        <f>(Вводные!AC123-Вводные!AC139)/Вводные!AC129</f>
        <v>0.71582564252405589</v>
      </c>
      <c r="AC18" s="295">
        <f>(Вводные!AD123-Вводные!AD139)/Вводные!AD129</f>
        <v>0.82426200605884781</v>
      </c>
      <c r="AD18" s="295">
        <f>(Вводные!AE123-Вводные!AE139)/Вводные!AE129</f>
        <v>0.88996064971348299</v>
      </c>
      <c r="AE18" s="295">
        <f>(Вводные!AF123-Вводные!AF139)/Вводные!AF129</f>
        <v>0.93112340360724943</v>
      </c>
      <c r="AF18" s="295">
        <f>(Вводные!AG123-Вводные!AG139)/Вводные!AG129</f>
        <v>0.95512164005343281</v>
      </c>
      <c r="AH18" s="299">
        <f>('Группа компаний Конс.Отчетность'!L13-'Группа компаний Конс.Отчетность'!L30)/'Группа компаний Конс.Отчетность'!L19</f>
        <v>0.17849786770984422</v>
      </c>
      <c r="AI18" s="299">
        <f>('Группа компаний Конс.Отчетность'!M13-'Группа компаний Конс.Отчетность'!M30)/'Группа компаний Конс.Отчетность'!M19</f>
        <v>0.15481464105194445</v>
      </c>
      <c r="AJ18" s="299">
        <f>('Группа компаний Конс.Отчетность'!N13-'Группа компаний Конс.Отчетность'!N30)/'Группа компаний Конс.Отчетность'!N19</f>
        <v>0.24484133382026724</v>
      </c>
      <c r="AK18" s="299">
        <f>('Группа компаний Конс.Отчетность'!O13-'Группа компаний Конс.Отчетность'!O30)/'Группа компаний Конс.Отчетность'!O19</f>
        <v>0.35106579020576667</v>
      </c>
      <c r="AL18" s="299">
        <f>('Группа компаний Конс.Отчетность'!P13-'Группа компаний Конс.Отчетность'!P30)/'Группа компаний Конс.Отчетность'!P19</f>
        <v>0.43974233383340156</v>
      </c>
      <c r="AM18" s="299">
        <f>('Группа компаний Конс.Отчетность'!Q13-'Группа компаний Конс.Отчетность'!Q30)/'Группа компаний Конс.Отчетность'!Q19</f>
        <v>0.50732084337574834</v>
      </c>
      <c r="AN18" s="299">
        <f>('Группа компаний Конс.Отчетность'!R13-'Группа компаний Конс.Отчетность'!R30)/'Группа компаний Конс.Отчетность'!R19</f>
        <v>0.5638789351681297</v>
      </c>
    </row>
    <row r="21" spans="1:40" ht="20" customHeight="1" x14ac:dyDescent="0.2">
      <c r="B21" s="397"/>
    </row>
  </sheetData>
  <mergeCells count="9">
    <mergeCell ref="AH1:AN1"/>
    <mergeCell ref="B1:H1"/>
    <mergeCell ref="A1:A2"/>
    <mergeCell ref="J1:P1"/>
    <mergeCell ref="R1:X1"/>
    <mergeCell ref="Z1:AF1"/>
    <mergeCell ref="Q1:Q18"/>
    <mergeCell ref="I1:I18"/>
    <mergeCell ref="Y1:Y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5250-8CEB-FD47-AAF8-1826EC2F4D1D}">
  <dimension ref="A1:U34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4" sqref="C34"/>
    </sheetView>
  </sheetViews>
  <sheetFormatPr baseColWidth="10" defaultColWidth="10.83203125" defaultRowHeight="16" x14ac:dyDescent="0.2"/>
  <cols>
    <col min="1" max="1" width="65.83203125" style="196" customWidth="1"/>
    <col min="2" max="21" width="10.5" style="196" customWidth="1"/>
    <col min="22" max="16384" width="10.83203125" style="196"/>
  </cols>
  <sheetData>
    <row r="1" spans="1:21" ht="16" customHeight="1" x14ac:dyDescent="0.2">
      <c r="A1" s="195" t="s">
        <v>40</v>
      </c>
      <c r="B1" s="410" t="s">
        <v>1</v>
      </c>
      <c r="C1" s="411"/>
      <c r="D1" s="411"/>
      <c r="E1" s="423"/>
      <c r="F1" s="410" t="s">
        <v>2</v>
      </c>
      <c r="G1" s="411"/>
      <c r="H1" s="411"/>
      <c r="I1" s="423"/>
      <c r="J1" s="410" t="s">
        <v>3</v>
      </c>
      <c r="K1" s="411"/>
      <c r="L1" s="411"/>
      <c r="M1" s="423"/>
      <c r="N1" s="410" t="s">
        <v>4</v>
      </c>
      <c r="O1" s="411"/>
      <c r="P1" s="411"/>
      <c r="Q1" s="423"/>
      <c r="R1" s="410" t="s">
        <v>203</v>
      </c>
      <c r="S1" s="411"/>
      <c r="T1" s="411"/>
      <c r="U1" s="423"/>
    </row>
    <row r="2" spans="1:21" ht="35" customHeight="1" x14ac:dyDescent="0.2">
      <c r="A2" s="316"/>
      <c r="B2" s="317" t="s">
        <v>26</v>
      </c>
      <c r="C2" s="407" t="s">
        <v>5</v>
      </c>
      <c r="D2" s="41" t="s">
        <v>204</v>
      </c>
      <c r="E2" s="318" t="s">
        <v>205</v>
      </c>
      <c r="F2" s="317" t="s">
        <v>26</v>
      </c>
      <c r="G2" s="407" t="s">
        <v>5</v>
      </c>
      <c r="H2" s="41" t="s">
        <v>204</v>
      </c>
      <c r="I2" s="318" t="s">
        <v>205</v>
      </c>
      <c r="J2" s="317" t="s">
        <v>26</v>
      </c>
      <c r="K2" s="407" t="s">
        <v>5</v>
      </c>
      <c r="L2" s="41" t="s">
        <v>204</v>
      </c>
      <c r="M2" s="318" t="s">
        <v>205</v>
      </c>
      <c r="N2" s="317" t="s">
        <v>26</v>
      </c>
      <c r="O2" s="407" t="s">
        <v>5</v>
      </c>
      <c r="P2" s="41" t="s">
        <v>204</v>
      </c>
      <c r="Q2" s="318" t="s">
        <v>205</v>
      </c>
      <c r="R2" s="317" t="s">
        <v>26</v>
      </c>
      <c r="S2" s="407" t="s">
        <v>5</v>
      </c>
      <c r="T2" s="41" t="s">
        <v>204</v>
      </c>
      <c r="U2" s="318" t="s">
        <v>205</v>
      </c>
    </row>
    <row r="3" spans="1:21" x14ac:dyDescent="0.2">
      <c r="A3" s="302" t="s">
        <v>41</v>
      </c>
      <c r="B3" s="319">
        <v>51450</v>
      </c>
      <c r="C3" s="308">
        <v>51502</v>
      </c>
      <c r="D3" s="300">
        <f>C3-B3</f>
        <v>52</v>
      </c>
      <c r="E3" s="334">
        <f>D3/B3</f>
        <v>1.010689990281827E-3</v>
      </c>
      <c r="F3" s="319">
        <v>42500</v>
      </c>
      <c r="G3" s="308">
        <v>43215.027862068964</v>
      </c>
      <c r="H3" s="300">
        <f>G3-F3</f>
        <v>715.02786206896417</v>
      </c>
      <c r="I3" s="334">
        <f>H3/F3</f>
        <v>1.6824184989857979E-2</v>
      </c>
      <c r="J3" s="179">
        <v>23700</v>
      </c>
      <c r="K3" s="179">
        <v>24565</v>
      </c>
      <c r="L3" s="300">
        <f>K3-J3</f>
        <v>865</v>
      </c>
      <c r="M3" s="334">
        <f>L3/J3</f>
        <v>3.6497890295358652E-2</v>
      </c>
      <c r="N3" s="179">
        <v>8500</v>
      </c>
      <c r="O3" s="179">
        <v>7911.8422222222225</v>
      </c>
      <c r="P3" s="300">
        <f>O3-N3</f>
        <v>-588.15777777777748</v>
      </c>
      <c r="Q3" s="334">
        <f>P3/N3</f>
        <v>-6.9195032679738533E-2</v>
      </c>
      <c r="R3" s="328">
        <v>115131</v>
      </c>
      <c r="S3" s="309">
        <v>116763</v>
      </c>
      <c r="T3" s="300">
        <f>S3-R3</f>
        <v>1632</v>
      </c>
      <c r="U3" s="334">
        <f>T3/R3</f>
        <v>1.4175156995075175E-2</v>
      </c>
    </row>
    <row r="4" spans="1:21" x14ac:dyDescent="0.2">
      <c r="A4" s="303" t="s">
        <v>42</v>
      </c>
      <c r="B4" s="320">
        <v>51450</v>
      </c>
      <c r="C4" s="310">
        <v>51502</v>
      </c>
      <c r="D4" s="300">
        <f t="shared" ref="D4:D8" si="0">C4-B4</f>
        <v>52</v>
      </c>
      <c r="E4" s="334">
        <f>D4/B4</f>
        <v>1.010689990281827E-3</v>
      </c>
      <c r="F4" s="320">
        <v>0</v>
      </c>
      <c r="G4" s="310">
        <v>0</v>
      </c>
      <c r="H4" s="300">
        <f t="shared" ref="H4:H34" si="1">G4-F4</f>
        <v>0</v>
      </c>
      <c r="I4" s="334">
        <v>0</v>
      </c>
      <c r="J4" s="187">
        <v>0</v>
      </c>
      <c r="K4" s="188">
        <v>0</v>
      </c>
      <c r="L4" s="300">
        <f t="shared" ref="L4:L34" si="2">K4-J4</f>
        <v>0</v>
      </c>
      <c r="M4" s="334">
        <v>0</v>
      </c>
      <c r="N4" s="187">
        <v>0</v>
      </c>
      <c r="O4" s="188">
        <v>0</v>
      </c>
      <c r="P4" s="300">
        <f t="shared" ref="P4:P34" si="3">O4-N4</f>
        <v>0</v>
      </c>
      <c r="Q4" s="334">
        <v>0</v>
      </c>
      <c r="R4" s="329">
        <v>51318</v>
      </c>
      <c r="S4" s="311">
        <v>51370</v>
      </c>
      <c r="T4" s="300">
        <f t="shared" ref="T4:T34" si="4">S4-R4</f>
        <v>52</v>
      </c>
      <c r="U4" s="334">
        <f t="shared" ref="U4:U34" si="5">T4/R4</f>
        <v>1.0132896839315641E-3</v>
      </c>
    </row>
    <row r="5" spans="1:21" x14ac:dyDescent="0.2">
      <c r="A5" s="303" t="s">
        <v>43</v>
      </c>
      <c r="B5" s="320">
        <v>0</v>
      </c>
      <c r="C5" s="310">
        <v>0</v>
      </c>
      <c r="D5" s="300">
        <f t="shared" si="0"/>
        <v>0</v>
      </c>
      <c r="E5" s="334">
        <v>0</v>
      </c>
      <c r="F5" s="320">
        <v>27500</v>
      </c>
      <c r="G5" s="310">
        <v>28089.768110344827</v>
      </c>
      <c r="H5" s="300">
        <f t="shared" si="1"/>
        <v>589.76811034482671</v>
      </c>
      <c r="I5" s="334">
        <f t="shared" ref="I5:I34" si="6">H5/F5</f>
        <v>2.1446113103448242E-2</v>
      </c>
      <c r="J5" s="187">
        <v>0</v>
      </c>
      <c r="K5" s="188">
        <v>0</v>
      </c>
      <c r="L5" s="300">
        <f t="shared" si="2"/>
        <v>0</v>
      </c>
      <c r="M5" s="334">
        <v>0</v>
      </c>
      <c r="N5" s="187">
        <v>0</v>
      </c>
      <c r="O5" s="188">
        <v>0</v>
      </c>
      <c r="P5" s="300">
        <f t="shared" si="3"/>
        <v>0</v>
      </c>
      <c r="Q5" s="334">
        <v>0</v>
      </c>
      <c r="R5" s="329">
        <v>26290</v>
      </c>
      <c r="S5" s="311">
        <v>26880</v>
      </c>
      <c r="T5" s="300">
        <f t="shared" si="4"/>
        <v>590</v>
      </c>
      <c r="U5" s="334">
        <f t="shared" si="5"/>
        <v>2.2441993153290225E-2</v>
      </c>
    </row>
    <row r="6" spans="1:21" x14ac:dyDescent="0.2">
      <c r="A6" s="303" t="s">
        <v>44</v>
      </c>
      <c r="B6" s="320">
        <v>0</v>
      </c>
      <c r="C6" s="310">
        <v>0</v>
      </c>
      <c r="D6" s="300">
        <f t="shared" si="0"/>
        <v>0</v>
      </c>
      <c r="E6" s="334">
        <v>0</v>
      </c>
      <c r="F6" s="320">
        <v>15000</v>
      </c>
      <c r="G6" s="310">
        <v>15125.259751724137</v>
      </c>
      <c r="H6" s="300">
        <f t="shared" si="1"/>
        <v>125.25975172413746</v>
      </c>
      <c r="I6" s="334">
        <f t="shared" si="6"/>
        <v>8.3506501149424976E-3</v>
      </c>
      <c r="J6" s="187">
        <v>0</v>
      </c>
      <c r="K6" s="188">
        <v>0</v>
      </c>
      <c r="L6" s="300">
        <f t="shared" si="2"/>
        <v>0</v>
      </c>
      <c r="M6" s="334">
        <v>0</v>
      </c>
      <c r="N6" s="187">
        <v>0</v>
      </c>
      <c r="O6" s="188">
        <v>0</v>
      </c>
      <c r="P6" s="300">
        <f t="shared" si="3"/>
        <v>0</v>
      </c>
      <c r="Q6" s="334">
        <v>0</v>
      </c>
      <c r="R6" s="329">
        <v>13823</v>
      </c>
      <c r="S6" s="311">
        <v>13948</v>
      </c>
      <c r="T6" s="300">
        <f t="shared" si="4"/>
        <v>125</v>
      </c>
      <c r="U6" s="334">
        <f t="shared" si="5"/>
        <v>9.0428995153005853E-3</v>
      </c>
    </row>
    <row r="7" spans="1:21" x14ac:dyDescent="0.2">
      <c r="A7" s="303" t="s">
        <v>45</v>
      </c>
      <c r="B7" s="320">
        <v>0</v>
      </c>
      <c r="C7" s="310">
        <v>0</v>
      </c>
      <c r="D7" s="300">
        <f t="shared" si="0"/>
        <v>0</v>
      </c>
      <c r="E7" s="334">
        <v>0</v>
      </c>
      <c r="F7" s="320">
        <v>0</v>
      </c>
      <c r="G7" s="310">
        <v>0</v>
      </c>
      <c r="H7" s="300">
        <f t="shared" si="1"/>
        <v>0</v>
      </c>
      <c r="I7" s="334">
        <v>0</v>
      </c>
      <c r="J7" s="187">
        <v>23700</v>
      </c>
      <c r="K7" s="188">
        <v>24565</v>
      </c>
      <c r="L7" s="300">
        <f t="shared" si="2"/>
        <v>865</v>
      </c>
      <c r="M7" s="334">
        <f t="shared" ref="M7:M34" si="7">L7/J7</f>
        <v>3.6497890295358652E-2</v>
      </c>
      <c r="N7" s="187">
        <v>0</v>
      </c>
      <c r="O7" s="188">
        <v>0</v>
      </c>
      <c r="P7" s="300">
        <f t="shared" si="3"/>
        <v>0</v>
      </c>
      <c r="Q7" s="334">
        <v>0</v>
      </c>
      <c r="R7" s="329">
        <v>23700</v>
      </c>
      <c r="S7" s="311">
        <v>24565</v>
      </c>
      <c r="T7" s="300">
        <f t="shared" si="4"/>
        <v>865</v>
      </c>
      <c r="U7" s="334">
        <f t="shared" si="5"/>
        <v>3.6497890295358652E-2</v>
      </c>
    </row>
    <row r="8" spans="1:21" x14ac:dyDescent="0.2">
      <c r="A8" s="303" t="s">
        <v>46</v>
      </c>
      <c r="B8" s="320">
        <v>0</v>
      </c>
      <c r="C8" s="310">
        <v>0</v>
      </c>
      <c r="D8" s="300">
        <f t="shared" si="0"/>
        <v>0</v>
      </c>
      <c r="E8" s="334">
        <v>0</v>
      </c>
      <c r="F8" s="320">
        <v>0</v>
      </c>
      <c r="G8" s="310">
        <v>0</v>
      </c>
      <c r="H8" s="300">
        <f t="shared" si="1"/>
        <v>0</v>
      </c>
      <c r="I8" s="334">
        <v>0</v>
      </c>
      <c r="J8" s="187">
        <v>0</v>
      </c>
      <c r="K8" s="188">
        <v>0</v>
      </c>
      <c r="L8" s="300">
        <f t="shared" si="2"/>
        <v>0</v>
      </c>
      <c r="M8" s="334">
        <v>0</v>
      </c>
      <c r="N8" s="187">
        <v>8500</v>
      </c>
      <c r="O8" s="188">
        <v>7911.8422222222225</v>
      </c>
      <c r="P8" s="300">
        <f t="shared" si="3"/>
        <v>-588.15777777777748</v>
      </c>
      <c r="Q8" s="334">
        <f t="shared" ref="Q8:Q34" si="8">P8/N8</f>
        <v>-6.9195032679738533E-2</v>
      </c>
      <c r="R8" s="329">
        <v>0</v>
      </c>
      <c r="S8" s="311">
        <v>0</v>
      </c>
      <c r="T8" s="300">
        <f t="shared" si="4"/>
        <v>0</v>
      </c>
      <c r="U8" s="334">
        <v>0</v>
      </c>
    </row>
    <row r="9" spans="1:21" x14ac:dyDescent="0.2">
      <c r="A9" s="302" t="s">
        <v>47</v>
      </c>
      <c r="B9" s="319">
        <v>17350</v>
      </c>
      <c r="C9" s="308">
        <v>17365</v>
      </c>
      <c r="D9" s="300">
        <f>C9-B9</f>
        <v>15</v>
      </c>
      <c r="E9" s="334">
        <f t="shared" ref="E9:E34" si="9">D9/B9</f>
        <v>8.6455331412103745E-4</v>
      </c>
      <c r="F9" s="319">
        <v>20300</v>
      </c>
      <c r="G9" s="308">
        <v>20311.063095172409</v>
      </c>
      <c r="H9" s="300">
        <f t="shared" si="1"/>
        <v>11.063095172408794</v>
      </c>
      <c r="I9" s="334">
        <f t="shared" si="6"/>
        <v>5.4498005775412779E-4</v>
      </c>
      <c r="J9" s="179">
        <v>14950</v>
      </c>
      <c r="K9" s="179">
        <v>15384</v>
      </c>
      <c r="L9" s="300">
        <f t="shared" si="2"/>
        <v>434</v>
      </c>
      <c r="M9" s="334">
        <f t="shared" si="7"/>
        <v>2.903010033444816E-2</v>
      </c>
      <c r="N9" s="179">
        <v>2350</v>
      </c>
      <c r="O9" s="179">
        <v>2421.0911111111109</v>
      </c>
      <c r="P9" s="300">
        <f t="shared" si="3"/>
        <v>71.091111111110877</v>
      </c>
      <c r="Q9" s="334">
        <f t="shared" si="8"/>
        <v>3.0251536643025906E-2</v>
      </c>
      <c r="R9" s="328">
        <v>50290</v>
      </c>
      <c r="S9" s="309">
        <v>50750</v>
      </c>
      <c r="T9" s="300">
        <f t="shared" si="4"/>
        <v>460</v>
      </c>
      <c r="U9" s="334">
        <f t="shared" si="5"/>
        <v>9.1469477033207392E-3</v>
      </c>
    </row>
    <row r="10" spans="1:21" x14ac:dyDescent="0.2">
      <c r="A10" s="303" t="s">
        <v>48</v>
      </c>
      <c r="B10" s="320">
        <v>13710</v>
      </c>
      <c r="C10" s="310">
        <v>13690.913300000004</v>
      </c>
      <c r="D10" s="300">
        <f t="shared" ref="D10:D34" si="10">C10-B10</f>
        <v>-19.086699999996199</v>
      </c>
      <c r="E10" s="334">
        <f t="shared" si="9"/>
        <v>-1.3921735959151131E-3</v>
      </c>
      <c r="F10" s="320">
        <v>16000</v>
      </c>
      <c r="G10" s="310">
        <v>16013.648365495837</v>
      </c>
      <c r="H10" s="300">
        <f t="shared" si="1"/>
        <v>13.648365495837425</v>
      </c>
      <c r="I10" s="334">
        <f t="shared" si="6"/>
        <v>8.53022843489839E-4</v>
      </c>
      <c r="J10" s="187">
        <v>13350</v>
      </c>
      <c r="K10" s="188">
        <v>13540</v>
      </c>
      <c r="L10" s="300">
        <f t="shared" si="2"/>
        <v>190</v>
      </c>
      <c r="M10" s="334">
        <f t="shared" si="7"/>
        <v>1.4232209737827715E-2</v>
      </c>
      <c r="N10" s="187">
        <v>1800</v>
      </c>
      <c r="O10" s="188">
        <v>1834.98</v>
      </c>
      <c r="P10" s="300">
        <f t="shared" si="3"/>
        <v>34.980000000000018</v>
      </c>
      <c r="Q10" s="334">
        <f t="shared" si="8"/>
        <v>1.9433333333333344E-2</v>
      </c>
      <c r="R10" s="329">
        <v>41960</v>
      </c>
      <c r="S10" s="311">
        <v>42145</v>
      </c>
      <c r="T10" s="300">
        <f t="shared" si="4"/>
        <v>185</v>
      </c>
      <c r="U10" s="334">
        <f t="shared" si="5"/>
        <v>4.4089609151572928E-3</v>
      </c>
    </row>
    <row r="11" spans="1:21" x14ac:dyDescent="0.2">
      <c r="A11" s="303" t="s">
        <v>49</v>
      </c>
      <c r="B11" s="320">
        <v>3450</v>
      </c>
      <c r="C11" s="310">
        <v>3484.7242292215342</v>
      </c>
      <c r="D11" s="300">
        <f t="shared" si="10"/>
        <v>34.724229221534188</v>
      </c>
      <c r="E11" s="334">
        <f t="shared" si="9"/>
        <v>1.0064993977256286E-2</v>
      </c>
      <c r="F11" s="320">
        <v>2900</v>
      </c>
      <c r="G11" s="310">
        <v>2979.0653687036552</v>
      </c>
      <c r="H11" s="300">
        <f t="shared" si="1"/>
        <v>79.065368703655167</v>
      </c>
      <c r="I11" s="334">
        <f t="shared" si="6"/>
        <v>2.7263920242639714E-2</v>
      </c>
      <c r="J11" s="187">
        <v>1500</v>
      </c>
      <c r="K11" s="188">
        <v>1724</v>
      </c>
      <c r="L11" s="300">
        <f t="shared" si="2"/>
        <v>224</v>
      </c>
      <c r="M11" s="334">
        <f t="shared" si="7"/>
        <v>0.14933333333333335</v>
      </c>
      <c r="N11" s="187">
        <v>500</v>
      </c>
      <c r="O11" s="188">
        <v>531.66666666666663</v>
      </c>
      <c r="P11" s="300">
        <f t="shared" si="3"/>
        <v>31.666666666666629</v>
      </c>
      <c r="Q11" s="334">
        <f t="shared" si="8"/>
        <v>6.3333333333333255E-2</v>
      </c>
      <c r="R11" s="329">
        <v>6640</v>
      </c>
      <c r="S11" s="311">
        <v>6978</v>
      </c>
      <c r="T11" s="300">
        <f t="shared" si="4"/>
        <v>338</v>
      </c>
      <c r="U11" s="334">
        <f t="shared" si="5"/>
        <v>5.0903614457831328E-2</v>
      </c>
    </row>
    <row r="12" spans="1:21" x14ac:dyDescent="0.2">
      <c r="A12" s="303" t="s">
        <v>50</v>
      </c>
      <c r="B12" s="320">
        <v>190</v>
      </c>
      <c r="C12" s="310">
        <v>189.36247077846184</v>
      </c>
      <c r="D12" s="300">
        <f t="shared" si="10"/>
        <v>-0.63752922153815916</v>
      </c>
      <c r="E12" s="334">
        <f t="shared" si="9"/>
        <v>-3.3554169554639956E-3</v>
      </c>
      <c r="F12" s="320">
        <v>1400</v>
      </c>
      <c r="G12" s="310">
        <v>1318.3493609729148</v>
      </c>
      <c r="H12" s="300">
        <f t="shared" si="1"/>
        <v>-81.650639027085163</v>
      </c>
      <c r="I12" s="334">
        <f t="shared" si="6"/>
        <v>-5.8321885019346542E-2</v>
      </c>
      <c r="J12" s="187">
        <v>100</v>
      </c>
      <c r="K12" s="188">
        <v>120</v>
      </c>
      <c r="L12" s="300">
        <f t="shared" si="2"/>
        <v>20</v>
      </c>
      <c r="M12" s="334">
        <f t="shared" si="7"/>
        <v>0.2</v>
      </c>
      <c r="N12" s="187">
        <v>50</v>
      </c>
      <c r="O12" s="188">
        <v>54.444444444444443</v>
      </c>
      <c r="P12" s="300">
        <f t="shared" si="3"/>
        <v>4.4444444444444429</v>
      </c>
      <c r="Q12" s="334">
        <f t="shared" si="8"/>
        <v>8.8888888888888851E-2</v>
      </c>
      <c r="R12" s="329">
        <v>1690</v>
      </c>
      <c r="S12" s="311">
        <v>1628</v>
      </c>
      <c r="T12" s="300">
        <f t="shared" si="4"/>
        <v>-62</v>
      </c>
      <c r="U12" s="334">
        <f t="shared" si="5"/>
        <v>-3.6686390532544376E-2</v>
      </c>
    </row>
    <row r="13" spans="1:21" x14ac:dyDescent="0.2">
      <c r="A13" s="302" t="s">
        <v>51</v>
      </c>
      <c r="B13" s="319">
        <v>34100</v>
      </c>
      <c r="C13" s="308">
        <v>34137</v>
      </c>
      <c r="D13" s="300">
        <f t="shared" si="10"/>
        <v>37</v>
      </c>
      <c r="E13" s="334">
        <f t="shared" si="9"/>
        <v>1.0850439882697947E-3</v>
      </c>
      <c r="F13" s="319">
        <v>22200</v>
      </c>
      <c r="G13" s="308">
        <v>22903.964766896555</v>
      </c>
      <c r="H13" s="300">
        <f t="shared" si="1"/>
        <v>703.96476689655537</v>
      </c>
      <c r="I13" s="334">
        <f t="shared" si="6"/>
        <v>3.1710124634979971E-2</v>
      </c>
      <c r="J13" s="179">
        <v>8750</v>
      </c>
      <c r="K13" s="179">
        <v>9181</v>
      </c>
      <c r="L13" s="300">
        <f t="shared" si="2"/>
        <v>431</v>
      </c>
      <c r="M13" s="334">
        <f t="shared" si="7"/>
        <v>4.925714285714286E-2</v>
      </c>
      <c r="N13" s="179">
        <v>6150</v>
      </c>
      <c r="O13" s="179">
        <v>5490.7511111111116</v>
      </c>
      <c r="P13" s="300">
        <f t="shared" si="3"/>
        <v>-659.24888888888836</v>
      </c>
      <c r="Q13" s="334">
        <f t="shared" si="8"/>
        <v>-0.10719494128274608</v>
      </c>
      <c r="R13" s="328">
        <v>64841</v>
      </c>
      <c r="S13" s="309">
        <v>66013</v>
      </c>
      <c r="T13" s="300">
        <f t="shared" si="4"/>
        <v>1172</v>
      </c>
      <c r="U13" s="334">
        <f t="shared" si="5"/>
        <v>1.8074983420983636E-2</v>
      </c>
    </row>
    <row r="14" spans="1:21" x14ac:dyDescent="0.2">
      <c r="A14" s="302" t="s">
        <v>52</v>
      </c>
      <c r="B14" s="319">
        <v>15614</v>
      </c>
      <c r="C14" s="308">
        <v>15549</v>
      </c>
      <c r="D14" s="300">
        <f t="shared" si="10"/>
        <v>-65</v>
      </c>
      <c r="E14" s="334">
        <f t="shared" si="9"/>
        <v>-4.162930703215063E-3</v>
      </c>
      <c r="F14" s="319">
        <v>13878</v>
      </c>
      <c r="G14" s="308">
        <v>14001.669027310347</v>
      </c>
      <c r="H14" s="300">
        <f t="shared" si="1"/>
        <v>123.66902731034679</v>
      </c>
      <c r="I14" s="334">
        <f t="shared" si="6"/>
        <v>8.9111563128942781E-3</v>
      </c>
      <c r="J14" s="179">
        <v>8749</v>
      </c>
      <c r="K14" s="179">
        <v>9138</v>
      </c>
      <c r="L14" s="300">
        <f t="shared" si="2"/>
        <v>389</v>
      </c>
      <c r="M14" s="334">
        <f t="shared" si="7"/>
        <v>4.4462224254200482E-2</v>
      </c>
      <c r="N14" s="179">
        <v>3945</v>
      </c>
      <c r="O14" s="179">
        <v>3944.4444444444443</v>
      </c>
      <c r="P14" s="300">
        <f t="shared" si="3"/>
        <v>-0.55555555555565661</v>
      </c>
      <c r="Q14" s="334">
        <f t="shared" si="8"/>
        <v>-1.4082523588229571E-4</v>
      </c>
      <c r="R14" s="328">
        <v>38032</v>
      </c>
      <c r="S14" s="309">
        <v>38480</v>
      </c>
      <c r="T14" s="300">
        <f t="shared" si="4"/>
        <v>448</v>
      </c>
      <c r="U14" s="334">
        <f t="shared" si="5"/>
        <v>1.1779554059739168E-2</v>
      </c>
    </row>
    <row r="15" spans="1:21" x14ac:dyDescent="0.2">
      <c r="A15" s="303" t="s">
        <v>53</v>
      </c>
      <c r="B15" s="320">
        <v>7400</v>
      </c>
      <c r="C15" s="310">
        <v>7405.166666666667</v>
      </c>
      <c r="D15" s="300">
        <f t="shared" si="10"/>
        <v>5.1666666666669698</v>
      </c>
      <c r="E15" s="334">
        <f t="shared" si="9"/>
        <v>6.9819819819823921E-4</v>
      </c>
      <c r="F15" s="320">
        <v>4600</v>
      </c>
      <c r="G15" s="310">
        <v>4606.9184020413795</v>
      </c>
      <c r="H15" s="300">
        <f t="shared" si="1"/>
        <v>6.9184020413795224</v>
      </c>
      <c r="I15" s="334">
        <f t="shared" si="6"/>
        <v>1.5040004437781571E-3</v>
      </c>
      <c r="J15" s="187">
        <v>2700</v>
      </c>
      <c r="K15" s="188">
        <v>2715</v>
      </c>
      <c r="L15" s="300">
        <f t="shared" si="2"/>
        <v>15</v>
      </c>
      <c r="M15" s="334">
        <f t="shared" si="7"/>
        <v>5.5555555555555558E-3</v>
      </c>
      <c r="N15" s="187">
        <v>3180</v>
      </c>
      <c r="O15" s="188">
        <v>3177.7777777777778</v>
      </c>
      <c r="P15" s="300">
        <f t="shared" si="3"/>
        <v>-2.2222222222221717</v>
      </c>
      <c r="Q15" s="334">
        <f t="shared" si="8"/>
        <v>-6.9881201956672068E-4</v>
      </c>
      <c r="R15" s="329">
        <v>14623</v>
      </c>
      <c r="S15" s="311">
        <v>14650</v>
      </c>
      <c r="T15" s="300">
        <f t="shared" si="4"/>
        <v>27</v>
      </c>
      <c r="U15" s="334">
        <f t="shared" si="5"/>
        <v>1.8464063461669973E-3</v>
      </c>
    </row>
    <row r="16" spans="1:21" x14ac:dyDescent="0.2">
      <c r="A16" s="303" t="s">
        <v>54</v>
      </c>
      <c r="B16" s="320">
        <v>864</v>
      </c>
      <c r="C16" s="310">
        <v>863.83333333333314</v>
      </c>
      <c r="D16" s="300">
        <f t="shared" si="10"/>
        <v>-0.16666666666685614</v>
      </c>
      <c r="E16" s="334">
        <f t="shared" si="9"/>
        <v>-1.9290123456812053E-4</v>
      </c>
      <c r="F16" s="320">
        <v>778</v>
      </c>
      <c r="G16" s="310">
        <v>777.87050151724145</v>
      </c>
      <c r="H16" s="300">
        <f t="shared" si="1"/>
        <v>-0.12949848275854947</v>
      </c>
      <c r="I16" s="334">
        <f t="shared" si="6"/>
        <v>-1.6645049197757002E-4</v>
      </c>
      <c r="J16" s="187">
        <v>549</v>
      </c>
      <c r="K16" s="188">
        <v>549</v>
      </c>
      <c r="L16" s="300">
        <f t="shared" si="2"/>
        <v>0</v>
      </c>
      <c r="M16" s="334">
        <f t="shared" si="7"/>
        <v>0</v>
      </c>
      <c r="N16" s="187">
        <v>200</v>
      </c>
      <c r="O16" s="188">
        <v>200</v>
      </c>
      <c r="P16" s="300">
        <f t="shared" si="3"/>
        <v>0</v>
      </c>
      <c r="Q16" s="334">
        <f t="shared" si="8"/>
        <v>0</v>
      </c>
      <c r="R16" s="329">
        <v>2191</v>
      </c>
      <c r="S16" s="311">
        <v>2191</v>
      </c>
      <c r="T16" s="300">
        <f t="shared" si="4"/>
        <v>0</v>
      </c>
      <c r="U16" s="334">
        <f t="shared" si="5"/>
        <v>0</v>
      </c>
    </row>
    <row r="17" spans="1:21" x14ac:dyDescent="0.2">
      <c r="A17" s="303" t="s">
        <v>55</v>
      </c>
      <c r="B17" s="320">
        <v>3800</v>
      </c>
      <c r="C17" s="310">
        <v>3767</v>
      </c>
      <c r="D17" s="300">
        <f t="shared" si="10"/>
        <v>-33</v>
      </c>
      <c r="E17" s="334">
        <f t="shared" si="9"/>
        <v>-8.6842105263157891E-3</v>
      </c>
      <c r="F17" s="320">
        <v>6800</v>
      </c>
      <c r="G17" s="310">
        <v>6871.1894300689673</v>
      </c>
      <c r="H17" s="300">
        <f t="shared" si="1"/>
        <v>71.18943006896734</v>
      </c>
      <c r="I17" s="334">
        <f t="shared" si="6"/>
        <v>1.0469033833671667E-2</v>
      </c>
      <c r="J17" s="187">
        <v>4400</v>
      </c>
      <c r="K17" s="188">
        <v>4700</v>
      </c>
      <c r="L17" s="300">
        <f t="shared" si="2"/>
        <v>300</v>
      </c>
      <c r="M17" s="334">
        <f t="shared" si="7"/>
        <v>6.8181818181818177E-2</v>
      </c>
      <c r="N17" s="187">
        <v>360</v>
      </c>
      <c r="O17" s="188">
        <v>366.66666666666669</v>
      </c>
      <c r="P17" s="300">
        <f t="shared" si="3"/>
        <v>6.6666666666666856</v>
      </c>
      <c r="Q17" s="334">
        <f t="shared" si="8"/>
        <v>1.851851851851857E-2</v>
      </c>
      <c r="R17" s="329">
        <v>15000</v>
      </c>
      <c r="S17" s="311">
        <v>15338</v>
      </c>
      <c r="T17" s="300">
        <f t="shared" si="4"/>
        <v>338</v>
      </c>
      <c r="U17" s="334">
        <f t="shared" si="5"/>
        <v>2.2533333333333332E-2</v>
      </c>
    </row>
    <row r="18" spans="1:21" x14ac:dyDescent="0.2">
      <c r="A18" s="303" t="s">
        <v>49</v>
      </c>
      <c r="B18" s="320">
        <v>2350</v>
      </c>
      <c r="C18" s="310">
        <v>2331</v>
      </c>
      <c r="D18" s="300">
        <f t="shared" si="10"/>
        <v>-19</v>
      </c>
      <c r="E18" s="334">
        <f t="shared" si="9"/>
        <v>-8.0851063829787233E-3</v>
      </c>
      <c r="F18" s="320">
        <v>1500</v>
      </c>
      <c r="G18" s="310">
        <v>1555.7410030344829</v>
      </c>
      <c r="H18" s="300">
        <f t="shared" si="1"/>
        <v>55.741003034482901</v>
      </c>
      <c r="I18" s="334">
        <f t="shared" si="6"/>
        <v>3.7160668689655264E-2</v>
      </c>
      <c r="J18" s="187">
        <v>1000</v>
      </c>
      <c r="K18" s="188">
        <v>1024</v>
      </c>
      <c r="L18" s="300">
        <f t="shared" si="2"/>
        <v>24</v>
      </c>
      <c r="M18" s="334">
        <f t="shared" si="7"/>
        <v>2.4E-2</v>
      </c>
      <c r="N18" s="187">
        <v>200</v>
      </c>
      <c r="O18" s="188">
        <v>196</v>
      </c>
      <c r="P18" s="300">
        <f t="shared" si="3"/>
        <v>-4</v>
      </c>
      <c r="Q18" s="334">
        <f t="shared" si="8"/>
        <v>-0.02</v>
      </c>
      <c r="R18" s="329">
        <v>4850</v>
      </c>
      <c r="S18" s="311">
        <v>4911</v>
      </c>
      <c r="T18" s="300">
        <f t="shared" si="4"/>
        <v>61</v>
      </c>
      <c r="U18" s="334">
        <f t="shared" si="5"/>
        <v>1.2577319587628866E-2</v>
      </c>
    </row>
    <row r="19" spans="1:21" x14ac:dyDescent="0.2">
      <c r="A19" s="303" t="s">
        <v>50</v>
      </c>
      <c r="B19" s="320">
        <v>1200</v>
      </c>
      <c r="C19" s="310">
        <v>1182</v>
      </c>
      <c r="D19" s="300">
        <f t="shared" si="10"/>
        <v>-18</v>
      </c>
      <c r="E19" s="334">
        <f t="shared" si="9"/>
        <v>-1.4999999999999999E-2</v>
      </c>
      <c r="F19" s="320">
        <v>200</v>
      </c>
      <c r="G19" s="310">
        <v>189.94969064827515</v>
      </c>
      <c r="H19" s="300">
        <f t="shared" si="1"/>
        <v>-10.050309351724849</v>
      </c>
      <c r="I19" s="334">
        <f t="shared" si="6"/>
        <v>-5.0251546758624241E-2</v>
      </c>
      <c r="J19" s="187">
        <v>100</v>
      </c>
      <c r="K19" s="188">
        <v>150</v>
      </c>
      <c r="L19" s="300">
        <f t="shared" si="2"/>
        <v>50</v>
      </c>
      <c r="M19" s="334">
        <f t="shared" si="7"/>
        <v>0.5</v>
      </c>
      <c r="N19" s="187">
        <v>5</v>
      </c>
      <c r="O19" s="188">
        <v>4</v>
      </c>
      <c r="P19" s="300">
        <f t="shared" si="3"/>
        <v>-1</v>
      </c>
      <c r="Q19" s="334">
        <f t="shared" si="8"/>
        <v>-0.2</v>
      </c>
      <c r="R19" s="329">
        <v>1368</v>
      </c>
      <c r="S19" s="311">
        <v>1390</v>
      </c>
      <c r="T19" s="300">
        <f t="shared" si="4"/>
        <v>22</v>
      </c>
      <c r="U19" s="334">
        <f t="shared" si="5"/>
        <v>1.6081871345029239E-2</v>
      </c>
    </row>
    <row r="20" spans="1:21" x14ac:dyDescent="0.2">
      <c r="A20" s="302" t="s">
        <v>56</v>
      </c>
      <c r="B20" s="319">
        <v>18486</v>
      </c>
      <c r="C20" s="308">
        <v>18588</v>
      </c>
      <c r="D20" s="300">
        <f t="shared" si="10"/>
        <v>102</v>
      </c>
      <c r="E20" s="334">
        <f t="shared" si="9"/>
        <v>5.5176890619928597E-3</v>
      </c>
      <c r="F20" s="319">
        <v>8322</v>
      </c>
      <c r="G20" s="308">
        <v>8902.2957395862086</v>
      </c>
      <c r="H20" s="300">
        <f t="shared" si="1"/>
        <v>580.29573958620858</v>
      </c>
      <c r="I20" s="334">
        <f t="shared" si="6"/>
        <v>6.973032198824905E-2</v>
      </c>
      <c r="J20" s="179">
        <v>1</v>
      </c>
      <c r="K20" s="179">
        <v>43</v>
      </c>
      <c r="L20" s="300">
        <f t="shared" si="2"/>
        <v>42</v>
      </c>
      <c r="M20" s="334">
        <f t="shared" si="7"/>
        <v>42</v>
      </c>
      <c r="N20" s="179">
        <v>2205</v>
      </c>
      <c r="O20" s="179">
        <v>1546.3066666666673</v>
      </c>
      <c r="P20" s="300">
        <f t="shared" si="3"/>
        <v>-658.6933333333327</v>
      </c>
      <c r="Q20" s="334">
        <f t="shared" si="8"/>
        <v>-0.2987271352985636</v>
      </c>
      <c r="R20" s="328">
        <v>26809</v>
      </c>
      <c r="S20" s="309">
        <v>27533</v>
      </c>
      <c r="T20" s="300">
        <f t="shared" si="4"/>
        <v>724</v>
      </c>
      <c r="U20" s="334">
        <f t="shared" si="5"/>
        <v>2.7005856242306687E-2</v>
      </c>
    </row>
    <row r="21" spans="1:21" x14ac:dyDescent="0.2">
      <c r="A21" s="302" t="s">
        <v>57</v>
      </c>
      <c r="B21" s="319">
        <v>359</v>
      </c>
      <c r="C21" s="308">
        <v>385</v>
      </c>
      <c r="D21" s="300">
        <f t="shared" si="10"/>
        <v>26</v>
      </c>
      <c r="E21" s="334">
        <f t="shared" si="9"/>
        <v>7.2423398328690811E-2</v>
      </c>
      <c r="F21" s="319">
        <v>619</v>
      </c>
      <c r="G21" s="308">
        <v>668.71227586206896</v>
      </c>
      <c r="H21" s="300">
        <f t="shared" si="1"/>
        <v>49.712275862068964</v>
      </c>
      <c r="I21" s="334">
        <f t="shared" si="6"/>
        <v>8.0310623363600911E-2</v>
      </c>
      <c r="J21" s="179">
        <v>800</v>
      </c>
      <c r="K21" s="179">
        <v>803</v>
      </c>
      <c r="L21" s="300">
        <f t="shared" si="2"/>
        <v>3</v>
      </c>
      <c r="M21" s="334">
        <f t="shared" si="7"/>
        <v>3.7499999999999999E-3</v>
      </c>
      <c r="N21" s="179">
        <v>10</v>
      </c>
      <c r="O21" s="179">
        <v>15</v>
      </c>
      <c r="P21" s="300">
        <f t="shared" si="3"/>
        <v>5</v>
      </c>
      <c r="Q21" s="334">
        <f t="shared" si="8"/>
        <v>0.5</v>
      </c>
      <c r="R21" s="328">
        <v>2274</v>
      </c>
      <c r="S21" s="309">
        <v>2205</v>
      </c>
      <c r="T21" s="300">
        <f t="shared" si="4"/>
        <v>-69</v>
      </c>
      <c r="U21" s="334">
        <f t="shared" si="5"/>
        <v>-3.0343007915567283E-2</v>
      </c>
    </row>
    <row r="22" spans="1:21" x14ac:dyDescent="0.2">
      <c r="A22" s="303" t="s">
        <v>58</v>
      </c>
      <c r="B22" s="320">
        <v>109</v>
      </c>
      <c r="C22" s="310">
        <v>109</v>
      </c>
      <c r="D22" s="300">
        <f t="shared" si="10"/>
        <v>0</v>
      </c>
      <c r="E22" s="334">
        <f t="shared" si="9"/>
        <v>0</v>
      </c>
      <c r="F22" s="320">
        <v>469</v>
      </c>
      <c r="G22" s="310">
        <v>468.71227586206902</v>
      </c>
      <c r="H22" s="300">
        <f t="shared" si="1"/>
        <v>-0.2877241379309794</v>
      </c>
      <c r="I22" s="334">
        <f t="shared" si="6"/>
        <v>-6.1348430262468949E-4</v>
      </c>
      <c r="J22" s="187">
        <v>795</v>
      </c>
      <c r="K22" s="188">
        <v>795</v>
      </c>
      <c r="L22" s="300">
        <f t="shared" si="2"/>
        <v>0</v>
      </c>
      <c r="M22" s="334">
        <f t="shared" si="7"/>
        <v>0</v>
      </c>
      <c r="N22" s="187">
        <v>0</v>
      </c>
      <c r="O22" s="188">
        <v>0</v>
      </c>
      <c r="P22" s="300">
        <f t="shared" si="3"/>
        <v>0</v>
      </c>
      <c r="Q22" s="334">
        <v>0</v>
      </c>
      <c r="R22" s="329">
        <v>1373</v>
      </c>
      <c r="S22" s="311">
        <v>1373</v>
      </c>
      <c r="T22" s="300">
        <f t="shared" si="4"/>
        <v>0</v>
      </c>
      <c r="U22" s="334">
        <f t="shared" si="5"/>
        <v>0</v>
      </c>
    </row>
    <row r="23" spans="1:21" x14ac:dyDescent="0.2">
      <c r="A23" s="303" t="s">
        <v>59</v>
      </c>
      <c r="B23" s="320">
        <v>250</v>
      </c>
      <c r="C23" s="310">
        <v>276</v>
      </c>
      <c r="D23" s="300">
        <f t="shared" si="10"/>
        <v>26</v>
      </c>
      <c r="E23" s="334">
        <f t="shared" si="9"/>
        <v>0.104</v>
      </c>
      <c r="F23" s="320">
        <v>150</v>
      </c>
      <c r="G23" s="310">
        <v>200</v>
      </c>
      <c r="H23" s="300">
        <f t="shared" si="1"/>
        <v>50</v>
      </c>
      <c r="I23" s="334">
        <f t="shared" si="6"/>
        <v>0.33333333333333331</v>
      </c>
      <c r="J23" s="187">
        <v>5</v>
      </c>
      <c r="K23" s="188">
        <v>8</v>
      </c>
      <c r="L23" s="300">
        <f t="shared" si="2"/>
        <v>3</v>
      </c>
      <c r="M23" s="334">
        <f t="shared" si="7"/>
        <v>0.6</v>
      </c>
      <c r="N23" s="187">
        <v>10</v>
      </c>
      <c r="O23" s="188">
        <v>15</v>
      </c>
      <c r="P23" s="300">
        <f t="shared" si="3"/>
        <v>5</v>
      </c>
      <c r="Q23" s="334">
        <f t="shared" si="8"/>
        <v>0.5</v>
      </c>
      <c r="R23" s="329">
        <v>405</v>
      </c>
      <c r="S23" s="311">
        <v>484</v>
      </c>
      <c r="T23" s="300">
        <f t="shared" si="4"/>
        <v>79</v>
      </c>
      <c r="U23" s="334">
        <f t="shared" si="5"/>
        <v>0.19506172839506172</v>
      </c>
    </row>
    <row r="24" spans="1:21" x14ac:dyDescent="0.2">
      <c r="A24" s="303" t="s">
        <v>141</v>
      </c>
      <c r="B24" s="320"/>
      <c r="C24" s="310"/>
      <c r="D24" s="300">
        <f t="shared" si="10"/>
        <v>0</v>
      </c>
      <c r="E24" s="334">
        <v>0</v>
      </c>
      <c r="F24" s="320"/>
      <c r="G24" s="310"/>
      <c r="H24" s="300">
        <f t="shared" si="1"/>
        <v>0</v>
      </c>
      <c r="I24" s="334">
        <v>0</v>
      </c>
      <c r="J24" s="187"/>
      <c r="K24" s="188"/>
      <c r="L24" s="300">
        <f t="shared" si="2"/>
        <v>0</v>
      </c>
      <c r="M24" s="334">
        <v>0</v>
      </c>
      <c r="N24" s="187"/>
      <c r="O24" s="188"/>
      <c r="P24" s="300">
        <f t="shared" si="3"/>
        <v>0</v>
      </c>
      <c r="Q24" s="334">
        <v>0</v>
      </c>
      <c r="R24" s="329">
        <v>496</v>
      </c>
      <c r="S24" s="312">
        <v>349</v>
      </c>
      <c r="T24" s="300">
        <f t="shared" si="4"/>
        <v>-147</v>
      </c>
      <c r="U24" s="334">
        <f t="shared" si="5"/>
        <v>-0.2963709677419355</v>
      </c>
    </row>
    <row r="25" spans="1:21" x14ac:dyDescent="0.2">
      <c r="A25" s="302" t="s">
        <v>60</v>
      </c>
      <c r="B25" s="319">
        <v>101</v>
      </c>
      <c r="C25" s="308">
        <v>100</v>
      </c>
      <c r="D25" s="300">
        <f t="shared" si="10"/>
        <v>-1</v>
      </c>
      <c r="E25" s="334">
        <f t="shared" si="9"/>
        <v>-9.9009900990099011E-3</v>
      </c>
      <c r="F25" s="319">
        <v>80</v>
      </c>
      <c r="G25" s="308">
        <v>100</v>
      </c>
      <c r="H25" s="300">
        <f t="shared" si="1"/>
        <v>20</v>
      </c>
      <c r="I25" s="334">
        <f t="shared" si="6"/>
        <v>0.25</v>
      </c>
      <c r="J25" s="179">
        <v>5</v>
      </c>
      <c r="K25" s="179">
        <v>10</v>
      </c>
      <c r="L25" s="300">
        <f t="shared" si="2"/>
        <v>5</v>
      </c>
      <c r="M25" s="334">
        <f t="shared" si="7"/>
        <v>1</v>
      </c>
      <c r="N25" s="179">
        <v>10</v>
      </c>
      <c r="O25" s="179">
        <v>12</v>
      </c>
      <c r="P25" s="300">
        <f t="shared" si="3"/>
        <v>2</v>
      </c>
      <c r="Q25" s="334">
        <f t="shared" si="8"/>
        <v>0.2</v>
      </c>
      <c r="R25" s="328">
        <v>186</v>
      </c>
      <c r="S25" s="309">
        <v>210</v>
      </c>
      <c r="T25" s="300">
        <f t="shared" si="4"/>
        <v>24</v>
      </c>
      <c r="U25" s="334">
        <f t="shared" si="5"/>
        <v>0.12903225806451613</v>
      </c>
    </row>
    <row r="26" spans="1:21" x14ac:dyDescent="0.2">
      <c r="A26" s="303" t="s">
        <v>61</v>
      </c>
      <c r="B26" s="320">
        <v>51</v>
      </c>
      <c r="C26" s="310">
        <v>51</v>
      </c>
      <c r="D26" s="300">
        <f t="shared" si="10"/>
        <v>0</v>
      </c>
      <c r="E26" s="334">
        <f t="shared" si="9"/>
        <v>0</v>
      </c>
      <c r="F26" s="320">
        <v>0</v>
      </c>
      <c r="G26" s="310">
        <v>0</v>
      </c>
      <c r="H26" s="300">
        <f t="shared" si="1"/>
        <v>0</v>
      </c>
      <c r="I26" s="334">
        <v>0</v>
      </c>
      <c r="J26" s="187">
        <v>0</v>
      </c>
      <c r="K26" s="188">
        <v>0</v>
      </c>
      <c r="L26" s="300">
        <f t="shared" si="2"/>
        <v>0</v>
      </c>
      <c r="M26" s="334">
        <v>0</v>
      </c>
      <c r="N26" s="187">
        <v>0</v>
      </c>
      <c r="O26" s="188">
        <v>0</v>
      </c>
      <c r="P26" s="300">
        <f t="shared" si="3"/>
        <v>0</v>
      </c>
      <c r="Q26" s="334">
        <v>0</v>
      </c>
      <c r="R26" s="329">
        <v>51</v>
      </c>
      <c r="S26" s="311">
        <v>51</v>
      </c>
      <c r="T26" s="300">
        <f t="shared" si="4"/>
        <v>0</v>
      </c>
      <c r="U26" s="334">
        <f t="shared" si="5"/>
        <v>0</v>
      </c>
    </row>
    <row r="27" spans="1:21" x14ac:dyDescent="0.2">
      <c r="A27" s="303" t="s">
        <v>50</v>
      </c>
      <c r="B27" s="320">
        <v>50</v>
      </c>
      <c r="C27" s="310">
        <v>49</v>
      </c>
      <c r="D27" s="300">
        <f t="shared" si="10"/>
        <v>-1</v>
      </c>
      <c r="E27" s="334">
        <f t="shared" si="9"/>
        <v>-0.02</v>
      </c>
      <c r="F27" s="320">
        <v>80</v>
      </c>
      <c r="G27" s="310">
        <v>100</v>
      </c>
      <c r="H27" s="300">
        <f t="shared" si="1"/>
        <v>20</v>
      </c>
      <c r="I27" s="334">
        <f t="shared" si="6"/>
        <v>0.25</v>
      </c>
      <c r="J27" s="187">
        <v>5</v>
      </c>
      <c r="K27" s="188">
        <v>10</v>
      </c>
      <c r="L27" s="300">
        <f t="shared" si="2"/>
        <v>5</v>
      </c>
      <c r="M27" s="334">
        <f t="shared" si="7"/>
        <v>1</v>
      </c>
      <c r="N27" s="187">
        <v>10</v>
      </c>
      <c r="O27" s="188">
        <v>12</v>
      </c>
      <c r="P27" s="300">
        <f t="shared" si="3"/>
        <v>2</v>
      </c>
      <c r="Q27" s="334">
        <f t="shared" si="8"/>
        <v>0.2</v>
      </c>
      <c r="R27" s="329">
        <v>135</v>
      </c>
      <c r="S27" s="311">
        <v>159</v>
      </c>
      <c r="T27" s="300">
        <f t="shared" si="4"/>
        <v>24</v>
      </c>
      <c r="U27" s="334">
        <f t="shared" si="5"/>
        <v>0.17777777777777778</v>
      </c>
    </row>
    <row r="28" spans="1:21" x14ac:dyDescent="0.2">
      <c r="A28" s="302" t="s">
        <v>62</v>
      </c>
      <c r="B28" s="319">
        <v>18744</v>
      </c>
      <c r="C28" s="308">
        <v>18873</v>
      </c>
      <c r="D28" s="300">
        <f t="shared" si="10"/>
        <v>129</v>
      </c>
      <c r="E28" s="334">
        <f t="shared" si="9"/>
        <v>6.8822023047375161E-3</v>
      </c>
      <c r="F28" s="319">
        <v>8861</v>
      </c>
      <c r="G28" s="308">
        <v>9471.0080154482785</v>
      </c>
      <c r="H28" s="300">
        <f t="shared" si="1"/>
        <v>610.00801544827846</v>
      </c>
      <c r="I28" s="334">
        <f t="shared" si="6"/>
        <v>6.88418931777766E-2</v>
      </c>
      <c r="J28" s="179">
        <v>796</v>
      </c>
      <c r="K28" s="179">
        <v>836</v>
      </c>
      <c r="L28" s="300">
        <f t="shared" si="2"/>
        <v>40</v>
      </c>
      <c r="M28" s="334">
        <f t="shared" si="7"/>
        <v>5.0251256281407038E-2</v>
      </c>
      <c r="N28" s="179">
        <v>2205</v>
      </c>
      <c r="O28" s="179">
        <v>1549.3066666666673</v>
      </c>
      <c r="P28" s="300">
        <f t="shared" si="3"/>
        <v>-655.6933333333327</v>
      </c>
      <c r="Q28" s="334">
        <f t="shared" si="8"/>
        <v>-0.29736659108087649</v>
      </c>
      <c r="R28" s="328">
        <v>28897</v>
      </c>
      <c r="S28" s="309">
        <v>29529</v>
      </c>
      <c r="T28" s="300">
        <f t="shared" si="4"/>
        <v>632</v>
      </c>
      <c r="U28" s="334">
        <f t="shared" si="5"/>
        <v>2.1870782434162715E-2</v>
      </c>
    </row>
    <row r="29" spans="1:21" x14ac:dyDescent="0.2">
      <c r="A29" s="304" t="s">
        <v>63</v>
      </c>
      <c r="B29" s="319">
        <v>4686</v>
      </c>
      <c r="C29" s="308">
        <v>4718.25</v>
      </c>
      <c r="D29" s="300">
        <f t="shared" si="10"/>
        <v>32.25</v>
      </c>
      <c r="E29" s="334">
        <f t="shared" si="9"/>
        <v>6.8822023047375161E-3</v>
      </c>
      <c r="F29" s="319">
        <v>2215.25</v>
      </c>
      <c r="G29" s="308">
        <v>2367.7520038620696</v>
      </c>
      <c r="H29" s="300">
        <f t="shared" si="1"/>
        <v>152.50200386206961</v>
      </c>
      <c r="I29" s="334">
        <f t="shared" si="6"/>
        <v>6.88418931777766E-2</v>
      </c>
      <c r="J29" s="180">
        <v>199</v>
      </c>
      <c r="K29" s="180">
        <v>209</v>
      </c>
      <c r="L29" s="300">
        <f t="shared" si="2"/>
        <v>10</v>
      </c>
      <c r="M29" s="334">
        <f t="shared" si="7"/>
        <v>5.0251256281407038E-2</v>
      </c>
      <c r="N29" s="180">
        <v>551.25</v>
      </c>
      <c r="O29" s="180">
        <v>387.32666666666682</v>
      </c>
      <c r="P29" s="300">
        <f t="shared" si="3"/>
        <v>-163.92333333333318</v>
      </c>
      <c r="Q29" s="334">
        <f t="shared" si="8"/>
        <v>-0.29736659108087649</v>
      </c>
      <c r="R29" s="329">
        <v>7100</v>
      </c>
      <c r="S29" s="311">
        <v>7295</v>
      </c>
      <c r="T29" s="300">
        <f t="shared" si="4"/>
        <v>195</v>
      </c>
      <c r="U29" s="334">
        <f t="shared" si="5"/>
        <v>2.7464788732394368E-2</v>
      </c>
    </row>
    <row r="30" spans="1:21" x14ac:dyDescent="0.2">
      <c r="A30" s="302" t="s">
        <v>10</v>
      </c>
      <c r="B30" s="319">
        <v>14058</v>
      </c>
      <c r="C30" s="308">
        <v>14154.75</v>
      </c>
      <c r="D30" s="300">
        <f t="shared" si="10"/>
        <v>96.75</v>
      </c>
      <c r="E30" s="334">
        <f t="shared" si="9"/>
        <v>6.8822023047375161E-3</v>
      </c>
      <c r="F30" s="319">
        <v>6645.75</v>
      </c>
      <c r="G30" s="308">
        <v>7103.2560115862088</v>
      </c>
      <c r="H30" s="300">
        <f t="shared" si="1"/>
        <v>457.50601158620884</v>
      </c>
      <c r="I30" s="334">
        <f t="shared" si="6"/>
        <v>6.88418931777766E-2</v>
      </c>
      <c r="J30" s="179">
        <v>597</v>
      </c>
      <c r="K30" s="179">
        <v>627</v>
      </c>
      <c r="L30" s="300">
        <f t="shared" si="2"/>
        <v>30</v>
      </c>
      <c r="M30" s="334">
        <f t="shared" si="7"/>
        <v>5.0251256281407038E-2</v>
      </c>
      <c r="N30" s="179">
        <v>1653.75</v>
      </c>
      <c r="O30" s="179">
        <v>1161.9800000000005</v>
      </c>
      <c r="P30" s="300">
        <f t="shared" si="3"/>
        <v>-491.76999999999953</v>
      </c>
      <c r="Q30" s="334">
        <f t="shared" si="8"/>
        <v>-0.29736659108087649</v>
      </c>
      <c r="R30" s="328">
        <v>21797</v>
      </c>
      <c r="S30" s="309">
        <v>22234</v>
      </c>
      <c r="T30" s="300">
        <f t="shared" si="4"/>
        <v>437</v>
      </c>
      <c r="U30" s="334">
        <f t="shared" si="5"/>
        <v>2.004863054548791E-2</v>
      </c>
    </row>
    <row r="31" spans="1:21" x14ac:dyDescent="0.2">
      <c r="A31" s="305" t="s">
        <v>142</v>
      </c>
      <c r="B31" s="321"/>
      <c r="C31" s="301"/>
      <c r="D31" s="300">
        <f t="shared" si="10"/>
        <v>0</v>
      </c>
      <c r="E31" s="334">
        <v>0</v>
      </c>
      <c r="F31" s="321"/>
      <c r="G31" s="301"/>
      <c r="H31" s="300">
        <f t="shared" si="1"/>
        <v>0</v>
      </c>
      <c r="I31" s="334">
        <v>0</v>
      </c>
      <c r="L31" s="300">
        <f t="shared" si="2"/>
        <v>0</v>
      </c>
      <c r="M31" s="334">
        <v>0</v>
      </c>
      <c r="P31" s="300">
        <f t="shared" si="3"/>
        <v>0</v>
      </c>
      <c r="Q31" s="334">
        <v>0</v>
      </c>
      <c r="R31" s="330">
        <v>20894</v>
      </c>
      <c r="S31" s="313">
        <v>21272</v>
      </c>
      <c r="T31" s="300">
        <f t="shared" si="4"/>
        <v>378</v>
      </c>
      <c r="U31" s="334">
        <f t="shared" si="5"/>
        <v>1.8091318081745956E-2</v>
      </c>
    </row>
    <row r="32" spans="1:21" x14ac:dyDescent="0.2">
      <c r="A32" s="196" t="s">
        <v>143</v>
      </c>
      <c r="B32" s="321"/>
      <c r="C32" s="301"/>
      <c r="D32" s="300">
        <f t="shared" si="10"/>
        <v>0</v>
      </c>
      <c r="E32" s="334">
        <v>0</v>
      </c>
      <c r="F32" s="321"/>
      <c r="G32" s="301"/>
      <c r="H32" s="300">
        <f t="shared" si="1"/>
        <v>0</v>
      </c>
      <c r="I32" s="334">
        <v>0</v>
      </c>
      <c r="L32" s="300">
        <f t="shared" si="2"/>
        <v>0</v>
      </c>
      <c r="M32" s="334">
        <v>0</v>
      </c>
      <c r="P32" s="300">
        <f t="shared" si="3"/>
        <v>0</v>
      </c>
      <c r="Q32" s="334">
        <v>0</v>
      </c>
      <c r="R32" s="331">
        <v>903</v>
      </c>
      <c r="S32" s="314">
        <v>961</v>
      </c>
      <c r="T32" s="300">
        <f t="shared" si="4"/>
        <v>58</v>
      </c>
      <c r="U32" s="334">
        <f t="shared" si="5"/>
        <v>6.4230343300110737E-2</v>
      </c>
    </row>
    <row r="33" spans="1:21" x14ac:dyDescent="0.2">
      <c r="A33" s="306" t="s">
        <v>65</v>
      </c>
      <c r="B33" s="322">
        <v>1132</v>
      </c>
      <c r="C33" s="315">
        <v>1132</v>
      </c>
      <c r="D33" s="300">
        <f t="shared" si="10"/>
        <v>0</v>
      </c>
      <c r="E33" s="334">
        <f t="shared" si="9"/>
        <v>0</v>
      </c>
      <c r="F33" s="322">
        <v>2494</v>
      </c>
      <c r="G33" s="315">
        <v>2493.8487376919538</v>
      </c>
      <c r="H33" s="300">
        <f t="shared" si="1"/>
        <v>-0.1512623080461708</v>
      </c>
      <c r="I33" s="334">
        <f t="shared" si="6"/>
        <v>-6.0650484380982681E-5</v>
      </c>
      <c r="J33" s="191">
        <v>628</v>
      </c>
      <c r="K33" s="192">
        <v>628</v>
      </c>
      <c r="L33" s="300">
        <f t="shared" si="2"/>
        <v>0</v>
      </c>
      <c r="M33" s="334">
        <f t="shared" si="7"/>
        <v>0</v>
      </c>
      <c r="N33" s="191">
        <v>142</v>
      </c>
      <c r="O33" s="192">
        <v>141.62944444444443</v>
      </c>
      <c r="P33" s="300">
        <f t="shared" si="3"/>
        <v>-0.37055555555556907</v>
      </c>
      <c r="Q33" s="334">
        <f t="shared" si="8"/>
        <v>-2.6095461658842893E-3</v>
      </c>
      <c r="R33" s="329">
        <v>4254</v>
      </c>
      <c r="S33" s="311">
        <v>4254</v>
      </c>
      <c r="T33" s="300">
        <f t="shared" si="4"/>
        <v>0</v>
      </c>
      <c r="U33" s="334">
        <f t="shared" si="5"/>
        <v>0</v>
      </c>
    </row>
    <row r="34" spans="1:21" ht="17" thickBot="1" x14ac:dyDescent="0.25">
      <c r="A34" s="307" t="s">
        <v>66</v>
      </c>
      <c r="B34" s="323">
        <v>19818</v>
      </c>
      <c r="C34" s="324">
        <v>19947</v>
      </c>
      <c r="D34" s="325">
        <f t="shared" si="10"/>
        <v>129</v>
      </c>
      <c r="E34" s="335">
        <f t="shared" si="9"/>
        <v>6.5092340296699974E-3</v>
      </c>
      <c r="F34" s="323">
        <v>10886</v>
      </c>
      <c r="G34" s="324">
        <v>11496.144477278162</v>
      </c>
      <c r="H34" s="325">
        <f t="shared" si="1"/>
        <v>610.1444772781615</v>
      </c>
      <c r="I34" s="335">
        <f t="shared" si="6"/>
        <v>5.6048546507271861E-2</v>
      </c>
      <c r="J34" s="326">
        <v>629</v>
      </c>
      <c r="K34" s="327">
        <v>669</v>
      </c>
      <c r="L34" s="336">
        <f t="shared" si="2"/>
        <v>40</v>
      </c>
      <c r="M34" s="337">
        <f t="shared" si="7"/>
        <v>6.3593004769475353E-2</v>
      </c>
      <c r="N34" s="326">
        <v>2347</v>
      </c>
      <c r="O34" s="327">
        <v>1690.9361111111118</v>
      </c>
      <c r="P34" s="336">
        <f t="shared" si="3"/>
        <v>-656.06388888888819</v>
      </c>
      <c r="Q34" s="337">
        <f t="shared" si="8"/>
        <v>-0.27953297353595574</v>
      </c>
      <c r="R34" s="332">
        <v>31829</v>
      </c>
      <c r="S34" s="333">
        <v>32461</v>
      </c>
      <c r="T34" s="325">
        <f t="shared" si="4"/>
        <v>632</v>
      </c>
      <c r="U34" s="335">
        <f t="shared" si="5"/>
        <v>1.9856106066794433E-2</v>
      </c>
    </row>
  </sheetData>
  <mergeCells count="5">
    <mergeCell ref="N1:Q1"/>
    <mergeCell ref="R1:U1"/>
    <mergeCell ref="B1:E1"/>
    <mergeCell ref="F1:I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22C3-F77B-354E-AF22-797C2C6CA67B}">
  <dimension ref="A1:U30"/>
  <sheetViews>
    <sheetView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27" sqref="K27"/>
    </sheetView>
  </sheetViews>
  <sheetFormatPr baseColWidth="10" defaultColWidth="10.83203125" defaultRowHeight="15" x14ac:dyDescent="0.2"/>
  <cols>
    <col min="1" max="1" width="66.83203125" customWidth="1"/>
    <col min="2" max="12" width="8.5" customWidth="1"/>
    <col min="13" max="13" width="9.5" customWidth="1"/>
    <col min="14" max="21" width="8.5" customWidth="1"/>
  </cols>
  <sheetData>
    <row r="1" spans="1:21" ht="17" customHeight="1" thickBot="1" x14ac:dyDescent="0.25"/>
    <row r="2" spans="1:21" ht="16" x14ac:dyDescent="0.2">
      <c r="A2" s="195" t="s">
        <v>206</v>
      </c>
      <c r="B2" s="410" t="s">
        <v>1</v>
      </c>
      <c r="C2" s="411"/>
      <c r="D2" s="411"/>
      <c r="E2" s="423"/>
      <c r="F2" s="410" t="s">
        <v>2</v>
      </c>
      <c r="G2" s="411"/>
      <c r="H2" s="411"/>
      <c r="I2" s="423"/>
      <c r="J2" s="410" t="s">
        <v>3</v>
      </c>
      <c r="K2" s="411"/>
      <c r="L2" s="411"/>
      <c r="M2" s="423"/>
      <c r="N2" s="410" t="s">
        <v>4</v>
      </c>
      <c r="O2" s="411"/>
      <c r="P2" s="411"/>
      <c r="Q2" s="423"/>
      <c r="R2" s="410" t="s">
        <v>203</v>
      </c>
      <c r="S2" s="411"/>
      <c r="T2" s="411"/>
      <c r="U2" s="423"/>
    </row>
    <row r="3" spans="1:21" ht="51" x14ac:dyDescent="0.2">
      <c r="A3" s="316"/>
      <c r="B3" s="317" t="s">
        <v>26</v>
      </c>
      <c r="C3" s="407" t="s">
        <v>5</v>
      </c>
      <c r="D3" s="407" t="s">
        <v>204</v>
      </c>
      <c r="E3" s="344" t="s">
        <v>205</v>
      </c>
      <c r="F3" s="317" t="s">
        <v>26</v>
      </c>
      <c r="G3" s="407" t="s">
        <v>5</v>
      </c>
      <c r="H3" s="407" t="s">
        <v>204</v>
      </c>
      <c r="I3" s="344" t="s">
        <v>205</v>
      </c>
      <c r="J3" s="317" t="s">
        <v>26</v>
      </c>
      <c r="K3" s="407" t="s">
        <v>5</v>
      </c>
      <c r="L3" s="407" t="s">
        <v>204</v>
      </c>
      <c r="M3" s="344" t="s">
        <v>205</v>
      </c>
      <c r="N3" s="317" t="s">
        <v>26</v>
      </c>
      <c r="O3" s="407" t="s">
        <v>5</v>
      </c>
      <c r="P3" s="407" t="s">
        <v>204</v>
      </c>
      <c r="Q3" s="344" t="s">
        <v>205</v>
      </c>
      <c r="R3" s="317" t="s">
        <v>26</v>
      </c>
      <c r="S3" s="407" t="s">
        <v>5</v>
      </c>
      <c r="T3" s="407" t="s">
        <v>204</v>
      </c>
      <c r="U3" s="344" t="s">
        <v>205</v>
      </c>
    </row>
    <row r="4" spans="1:21" ht="16" x14ac:dyDescent="0.2">
      <c r="A4" s="302" t="s">
        <v>41</v>
      </c>
      <c r="B4" s="319">
        <v>51450</v>
      </c>
      <c r="C4" s="308">
        <v>51502</v>
      </c>
      <c r="D4" s="300">
        <f>C4-B4</f>
        <v>52</v>
      </c>
      <c r="E4" s="334">
        <f>D4/B4</f>
        <v>1.010689990281827E-3</v>
      </c>
      <c r="F4" s="319">
        <v>42500</v>
      </c>
      <c r="G4" s="308">
        <v>43215.027862068964</v>
      </c>
      <c r="H4" s="300">
        <f>G4-F4</f>
        <v>715.02786206896417</v>
      </c>
      <c r="I4" s="334">
        <f>H4/F4</f>
        <v>1.6824184989857979E-2</v>
      </c>
      <c r="J4" s="179">
        <v>23700</v>
      </c>
      <c r="K4" s="179">
        <v>24565</v>
      </c>
      <c r="L4" s="300">
        <f>K4-J4</f>
        <v>865</v>
      </c>
      <c r="M4" s="334">
        <f>L4/J4</f>
        <v>3.6497890295358652E-2</v>
      </c>
      <c r="N4" s="179">
        <v>8500</v>
      </c>
      <c r="O4" s="179">
        <v>7911.8422222222225</v>
      </c>
      <c r="P4" s="300">
        <f>O4-N4</f>
        <v>-588.15777777777748</v>
      </c>
      <c r="Q4" s="334">
        <f>P4/N4</f>
        <v>-6.9195032679738533E-2</v>
      </c>
      <c r="R4" s="328">
        <v>115131</v>
      </c>
      <c r="S4" s="309">
        <v>116763</v>
      </c>
      <c r="T4" s="300">
        <f>S4-R4</f>
        <v>1632</v>
      </c>
      <c r="U4" s="334">
        <f>T4/R4</f>
        <v>1.4175156995075175E-2</v>
      </c>
    </row>
    <row r="5" spans="1:21" ht="16" x14ac:dyDescent="0.2">
      <c r="A5" s="302" t="s">
        <v>47</v>
      </c>
      <c r="B5" s="319">
        <v>17350</v>
      </c>
      <c r="C5" s="308">
        <v>17365</v>
      </c>
      <c r="D5" s="300">
        <f>C5-B5</f>
        <v>15</v>
      </c>
      <c r="E5" s="334">
        <f t="shared" ref="E5:E10" si="0">D5/B5</f>
        <v>8.6455331412103745E-4</v>
      </c>
      <c r="F5" s="319">
        <v>20300</v>
      </c>
      <c r="G5" s="308">
        <v>20311.063095172409</v>
      </c>
      <c r="H5" s="300">
        <f t="shared" ref="H5:H10" si="1">G5-F5</f>
        <v>11.063095172408794</v>
      </c>
      <c r="I5" s="334">
        <f t="shared" ref="I5:I10" si="2">H5/F5</f>
        <v>5.4498005775412779E-4</v>
      </c>
      <c r="J5" s="179">
        <v>14950</v>
      </c>
      <c r="K5" s="179">
        <v>15384</v>
      </c>
      <c r="L5" s="300">
        <f t="shared" ref="L5:L10" si="3">K5-J5</f>
        <v>434</v>
      </c>
      <c r="M5" s="334">
        <f t="shared" ref="M5:M10" si="4">L5/J5</f>
        <v>2.903010033444816E-2</v>
      </c>
      <c r="N5" s="179">
        <v>2350</v>
      </c>
      <c r="O5" s="179">
        <v>2421.0911111111109</v>
      </c>
      <c r="P5" s="300">
        <f t="shared" ref="P5:P10" si="5">O5-N5</f>
        <v>71.091111111110877</v>
      </c>
      <c r="Q5" s="334">
        <f t="shared" ref="Q5:Q10" si="6">P5/N5</f>
        <v>3.0251536643025906E-2</v>
      </c>
      <c r="R5" s="328">
        <v>50290</v>
      </c>
      <c r="S5" s="309">
        <v>50750</v>
      </c>
      <c r="T5" s="300">
        <f t="shared" ref="T5:T10" si="7">S5-R5</f>
        <v>460</v>
      </c>
      <c r="U5" s="334">
        <f t="shared" ref="U5:U10" si="8">T5/R5</f>
        <v>9.1469477033207392E-3</v>
      </c>
    </row>
    <row r="6" spans="1:21" ht="16" x14ac:dyDescent="0.2">
      <c r="A6" s="302" t="s">
        <v>52</v>
      </c>
      <c r="B6" s="319">
        <v>15614</v>
      </c>
      <c r="C6" s="308">
        <v>15549</v>
      </c>
      <c r="D6" s="300">
        <f t="shared" ref="D6:D10" si="9">C6-B6</f>
        <v>-65</v>
      </c>
      <c r="E6" s="334">
        <f t="shared" si="0"/>
        <v>-4.162930703215063E-3</v>
      </c>
      <c r="F6" s="319">
        <v>13878</v>
      </c>
      <c r="G6" s="308">
        <v>14001.669027310347</v>
      </c>
      <c r="H6" s="300">
        <f t="shared" si="1"/>
        <v>123.66902731034679</v>
      </c>
      <c r="I6" s="334">
        <f t="shared" si="2"/>
        <v>8.9111563128942781E-3</v>
      </c>
      <c r="J6" s="179">
        <v>8749</v>
      </c>
      <c r="K6" s="179">
        <v>9138</v>
      </c>
      <c r="L6" s="300">
        <f t="shared" si="3"/>
        <v>389</v>
      </c>
      <c r="M6" s="334">
        <f t="shared" si="4"/>
        <v>4.4462224254200482E-2</v>
      </c>
      <c r="N6" s="179">
        <v>3945</v>
      </c>
      <c r="O6" s="179">
        <v>3944.4444444444443</v>
      </c>
      <c r="P6" s="300">
        <f t="shared" si="5"/>
        <v>-0.55555555555565661</v>
      </c>
      <c r="Q6" s="334">
        <f t="shared" si="6"/>
        <v>-1.4082523588229571E-4</v>
      </c>
      <c r="R6" s="328">
        <v>38032</v>
      </c>
      <c r="S6" s="309">
        <v>38480</v>
      </c>
      <c r="T6" s="300">
        <f t="shared" si="7"/>
        <v>448</v>
      </c>
      <c r="U6" s="334">
        <f t="shared" si="8"/>
        <v>1.1779554059739168E-2</v>
      </c>
    </row>
    <row r="7" spans="1:21" ht="16" x14ac:dyDescent="0.2">
      <c r="A7" s="302" t="s">
        <v>57</v>
      </c>
      <c r="B7" s="319">
        <v>359</v>
      </c>
      <c r="C7" s="308">
        <v>385</v>
      </c>
      <c r="D7" s="300">
        <f t="shared" si="9"/>
        <v>26</v>
      </c>
      <c r="E7" s="334">
        <f t="shared" si="0"/>
        <v>7.2423398328690811E-2</v>
      </c>
      <c r="F7" s="319">
        <v>619</v>
      </c>
      <c r="G7" s="308">
        <v>668.71227586206896</v>
      </c>
      <c r="H7" s="300">
        <f t="shared" si="1"/>
        <v>49.712275862068964</v>
      </c>
      <c r="I7" s="334">
        <f t="shared" si="2"/>
        <v>8.0310623363600911E-2</v>
      </c>
      <c r="J7" s="179">
        <v>800</v>
      </c>
      <c r="K7" s="179">
        <v>803</v>
      </c>
      <c r="L7" s="300">
        <f t="shared" si="3"/>
        <v>3</v>
      </c>
      <c r="M7" s="334">
        <f t="shared" si="4"/>
        <v>3.7499999999999999E-3</v>
      </c>
      <c r="N7" s="179">
        <v>10</v>
      </c>
      <c r="O7" s="179">
        <v>15</v>
      </c>
      <c r="P7" s="300">
        <f t="shared" si="5"/>
        <v>5</v>
      </c>
      <c r="Q7" s="334">
        <f t="shared" si="6"/>
        <v>0.5</v>
      </c>
      <c r="R7" s="328">
        <v>2274</v>
      </c>
      <c r="S7" s="309">
        <v>2205</v>
      </c>
      <c r="T7" s="300">
        <f t="shared" si="7"/>
        <v>-69</v>
      </c>
      <c r="U7" s="334">
        <f t="shared" si="8"/>
        <v>-3.0343007915567283E-2</v>
      </c>
    </row>
    <row r="8" spans="1:21" ht="16" x14ac:dyDescent="0.2">
      <c r="A8" s="302" t="s">
        <v>60</v>
      </c>
      <c r="B8" s="319">
        <v>101</v>
      </c>
      <c r="C8" s="308">
        <v>100</v>
      </c>
      <c r="D8" s="300">
        <f t="shared" si="9"/>
        <v>-1</v>
      </c>
      <c r="E8" s="334">
        <f t="shared" si="0"/>
        <v>-9.9009900990099011E-3</v>
      </c>
      <c r="F8" s="319">
        <v>80</v>
      </c>
      <c r="G8" s="308">
        <v>100</v>
      </c>
      <c r="H8" s="300">
        <f t="shared" si="1"/>
        <v>20</v>
      </c>
      <c r="I8" s="334">
        <f t="shared" si="2"/>
        <v>0.25</v>
      </c>
      <c r="J8" s="179">
        <v>5</v>
      </c>
      <c r="K8" s="179">
        <v>10</v>
      </c>
      <c r="L8" s="300">
        <f t="shared" si="3"/>
        <v>5</v>
      </c>
      <c r="M8" s="334">
        <f t="shared" si="4"/>
        <v>1</v>
      </c>
      <c r="N8" s="179">
        <v>10</v>
      </c>
      <c r="O8" s="179">
        <v>12</v>
      </c>
      <c r="P8" s="300">
        <f t="shared" si="5"/>
        <v>2</v>
      </c>
      <c r="Q8" s="334">
        <f t="shared" si="6"/>
        <v>0.2</v>
      </c>
      <c r="R8" s="328">
        <v>186</v>
      </c>
      <c r="S8" s="309">
        <v>210</v>
      </c>
      <c r="T8" s="300">
        <f t="shared" si="7"/>
        <v>24</v>
      </c>
      <c r="U8" s="334">
        <f t="shared" si="8"/>
        <v>0.12903225806451613</v>
      </c>
    </row>
    <row r="9" spans="1:21" ht="16" x14ac:dyDescent="0.2">
      <c r="A9" s="302" t="s">
        <v>63</v>
      </c>
      <c r="B9" s="319">
        <v>4686</v>
      </c>
      <c r="C9" s="308">
        <v>4718.25</v>
      </c>
      <c r="D9" s="300">
        <f t="shared" si="9"/>
        <v>32.25</v>
      </c>
      <c r="E9" s="334">
        <f t="shared" si="0"/>
        <v>6.8822023047375161E-3</v>
      </c>
      <c r="F9" s="319">
        <v>2215.25</v>
      </c>
      <c r="G9" s="308">
        <v>2367.7520038620696</v>
      </c>
      <c r="H9" s="300">
        <f t="shared" si="1"/>
        <v>152.50200386206961</v>
      </c>
      <c r="I9" s="334">
        <f t="shared" si="2"/>
        <v>6.88418931777766E-2</v>
      </c>
      <c r="J9" s="180">
        <v>199</v>
      </c>
      <c r="K9" s="180">
        <v>209</v>
      </c>
      <c r="L9" s="300">
        <f t="shared" si="3"/>
        <v>10</v>
      </c>
      <c r="M9" s="334">
        <f t="shared" si="4"/>
        <v>5.0251256281407038E-2</v>
      </c>
      <c r="N9" s="180">
        <v>551.25</v>
      </c>
      <c r="O9" s="180">
        <v>387.32666666666682</v>
      </c>
      <c r="P9" s="300">
        <f t="shared" si="5"/>
        <v>-163.92333333333318</v>
      </c>
      <c r="Q9" s="334">
        <f t="shared" si="6"/>
        <v>-0.29736659108087649</v>
      </c>
      <c r="R9" s="329">
        <v>7100</v>
      </c>
      <c r="S9" s="311">
        <v>7295</v>
      </c>
      <c r="T9" s="300">
        <f t="shared" si="7"/>
        <v>195</v>
      </c>
      <c r="U9" s="334">
        <f t="shared" si="8"/>
        <v>2.7464788732394368E-2</v>
      </c>
    </row>
    <row r="10" spans="1:21" ht="16" x14ac:dyDescent="0.2">
      <c r="A10" s="302" t="s">
        <v>10</v>
      </c>
      <c r="B10" s="338">
        <v>14058</v>
      </c>
      <c r="C10" s="339">
        <v>14154.75</v>
      </c>
      <c r="D10" s="340">
        <f t="shared" si="9"/>
        <v>96.75</v>
      </c>
      <c r="E10" s="341">
        <f t="shared" si="0"/>
        <v>6.8822023047375161E-3</v>
      </c>
      <c r="F10" s="338">
        <v>6645.75</v>
      </c>
      <c r="G10" s="339">
        <v>7103.2560115862088</v>
      </c>
      <c r="H10" s="340">
        <f t="shared" si="1"/>
        <v>457.50601158620884</v>
      </c>
      <c r="I10" s="341">
        <f t="shared" si="2"/>
        <v>6.88418931777766E-2</v>
      </c>
      <c r="J10" s="193">
        <v>597</v>
      </c>
      <c r="K10" s="193">
        <v>627</v>
      </c>
      <c r="L10" s="340">
        <f t="shared" si="3"/>
        <v>30</v>
      </c>
      <c r="M10" s="341">
        <f t="shared" si="4"/>
        <v>5.0251256281407038E-2</v>
      </c>
      <c r="N10" s="193">
        <v>1653.75</v>
      </c>
      <c r="O10" s="193">
        <v>1161.9800000000005</v>
      </c>
      <c r="P10" s="340">
        <f t="shared" si="5"/>
        <v>-491.76999999999953</v>
      </c>
      <c r="Q10" s="341">
        <f t="shared" si="6"/>
        <v>-0.29736659108087649</v>
      </c>
      <c r="R10" s="342">
        <v>21797</v>
      </c>
      <c r="S10" s="343">
        <v>22234</v>
      </c>
      <c r="T10" s="340">
        <f t="shared" si="7"/>
        <v>437</v>
      </c>
      <c r="U10" s="341">
        <f t="shared" si="8"/>
        <v>2.004863054548791E-2</v>
      </c>
    </row>
    <row r="11" spans="1:21" ht="16" x14ac:dyDescent="0.2">
      <c r="A11" s="302" t="s">
        <v>11</v>
      </c>
      <c r="B11" s="345">
        <f>B10/B4*100%</f>
        <v>0.27323615160349857</v>
      </c>
      <c r="C11" s="346">
        <f>C10/C4*100%</f>
        <v>0.27483884121005009</v>
      </c>
      <c r="D11" s="301"/>
      <c r="E11" s="341">
        <f>(C11-B11)/B11</f>
        <v>5.8655840273919325E-3</v>
      </c>
      <c r="F11" s="357">
        <f>F10/F4*100%</f>
        <v>0.15637058823529412</v>
      </c>
      <c r="G11" s="357">
        <f>G10/G4*100%</f>
        <v>0.16437004354730347</v>
      </c>
      <c r="H11" s="301"/>
      <c r="I11" s="341">
        <f>(G11-F11)/F11</f>
        <v>5.1157032804483679E-2</v>
      </c>
      <c r="J11" s="357">
        <f>J10/J4</f>
        <v>2.5189873417721519E-2</v>
      </c>
      <c r="K11" s="357">
        <f>K10/K4</f>
        <v>2.5524119682475067E-2</v>
      </c>
      <c r="L11" s="301"/>
      <c r="M11" s="341">
        <f t="shared" ref="M11" si="10">(K11-J11)/J11</f>
        <v>1.3269072821874551E-2</v>
      </c>
      <c r="N11" s="357">
        <f>N10/N4</f>
        <v>0.19455882352941176</v>
      </c>
      <c r="O11" s="357">
        <f>O10/O4</f>
        <v>0.14686592166061063</v>
      </c>
      <c r="P11" s="301"/>
      <c r="Q11" s="341">
        <f t="shared" ref="Q11" si="11">(O11-N11)/N11</f>
        <v>-0.24513358481318795</v>
      </c>
      <c r="R11" s="357">
        <f>R10/R4</f>
        <v>0.18932346631228775</v>
      </c>
      <c r="S11" s="357">
        <f>S10/S4</f>
        <v>0.19041991041682724</v>
      </c>
      <c r="T11" s="301"/>
      <c r="U11" s="341">
        <f t="shared" ref="U11" si="12">(S11-R11)/R11</f>
        <v>5.7913798320748744E-3</v>
      </c>
    </row>
    <row r="12" spans="1:21" ht="51" x14ac:dyDescent="0.2">
      <c r="A12" s="316" t="s">
        <v>207</v>
      </c>
      <c r="B12" s="317" t="s">
        <v>26</v>
      </c>
      <c r="C12" s="407" t="s">
        <v>5</v>
      </c>
      <c r="D12" s="407" t="s">
        <v>204</v>
      </c>
      <c r="E12" s="344" t="s">
        <v>205</v>
      </c>
      <c r="F12" s="317" t="s">
        <v>26</v>
      </c>
      <c r="G12" s="407" t="s">
        <v>5</v>
      </c>
      <c r="H12" s="407" t="s">
        <v>204</v>
      </c>
      <c r="I12" s="344" t="s">
        <v>205</v>
      </c>
      <c r="J12" s="317" t="s">
        <v>26</v>
      </c>
      <c r="K12" s="407" t="s">
        <v>5</v>
      </c>
      <c r="L12" s="407" t="s">
        <v>204</v>
      </c>
      <c r="M12" s="344" t="s">
        <v>205</v>
      </c>
      <c r="N12" s="317" t="s">
        <v>26</v>
      </c>
      <c r="O12" s="407" t="s">
        <v>5</v>
      </c>
      <c r="P12" s="407" t="s">
        <v>204</v>
      </c>
      <c r="Q12" s="344" t="s">
        <v>205</v>
      </c>
      <c r="R12" s="317" t="s">
        <v>26</v>
      </c>
      <c r="S12" s="407" t="s">
        <v>5</v>
      </c>
      <c r="T12" s="407" t="s">
        <v>204</v>
      </c>
      <c r="U12" s="344" t="s">
        <v>205</v>
      </c>
    </row>
    <row r="13" spans="1:21" ht="16" x14ac:dyDescent="0.2">
      <c r="A13" s="302" t="s">
        <v>41</v>
      </c>
      <c r="B13" s="319">
        <v>51450</v>
      </c>
      <c r="C13" s="308">
        <v>51502</v>
      </c>
      <c r="D13" s="300">
        <f>C13-B13</f>
        <v>52</v>
      </c>
      <c r="E13" s="352">
        <f>D13/$B$19</f>
        <v>3.6989614454403185E-3</v>
      </c>
      <c r="F13" s="319">
        <v>42500</v>
      </c>
      <c r="G13" s="308">
        <v>43215.027862068964</v>
      </c>
      <c r="H13" s="300">
        <f>G13-F13</f>
        <v>715.02786206896417</v>
      </c>
      <c r="I13" s="352">
        <f>H13/F19</f>
        <v>0.10759174842101556</v>
      </c>
      <c r="J13" s="179">
        <v>23700</v>
      </c>
      <c r="K13" s="179">
        <v>24565</v>
      </c>
      <c r="L13" s="300">
        <f>K13-J13</f>
        <v>865</v>
      </c>
      <c r="M13" s="352">
        <f>L13/$J$19</f>
        <v>1.4489112227805696</v>
      </c>
      <c r="N13" s="179">
        <v>8500</v>
      </c>
      <c r="O13" s="179">
        <v>7911.8422222222225</v>
      </c>
      <c r="P13" s="300">
        <f>O13-N13</f>
        <v>-588.15777777777748</v>
      </c>
      <c r="Q13" s="352">
        <f>P13/$N$19</f>
        <v>-0.35565096161921539</v>
      </c>
      <c r="R13" s="328">
        <v>115131</v>
      </c>
      <c r="S13" s="309">
        <v>116763</v>
      </c>
      <c r="T13" s="300">
        <f>S13-R13</f>
        <v>1632</v>
      </c>
      <c r="U13" s="352">
        <f>T13/$R$19</f>
        <v>7.4872688902142492E-2</v>
      </c>
    </row>
    <row r="14" spans="1:21" ht="16" x14ac:dyDescent="0.2">
      <c r="A14" s="302" t="s">
        <v>47</v>
      </c>
      <c r="B14" s="319">
        <v>17350</v>
      </c>
      <c r="C14" s="308">
        <v>17365</v>
      </c>
      <c r="D14" s="300">
        <f>C14-B14</f>
        <v>15</v>
      </c>
      <c r="E14" s="352">
        <f>-D14/$B$19</f>
        <v>-1.0670081092616305E-3</v>
      </c>
      <c r="F14" s="319">
        <v>20300</v>
      </c>
      <c r="G14" s="308">
        <v>20311.063095172409</v>
      </c>
      <c r="H14" s="300">
        <f t="shared" ref="H14:H19" si="13">G14-F14</f>
        <v>11.063095172408794</v>
      </c>
      <c r="I14" s="352">
        <f>-H14/F19</f>
        <v>-1.6646872320518818E-3</v>
      </c>
      <c r="J14" s="179">
        <v>14950</v>
      </c>
      <c r="K14" s="179">
        <v>15384</v>
      </c>
      <c r="L14" s="300">
        <f t="shared" ref="L14:L19" si="14">K14-J14</f>
        <v>434</v>
      </c>
      <c r="M14" s="352">
        <f>-L14/$J$19</f>
        <v>-0.72696817420435511</v>
      </c>
      <c r="N14" s="179">
        <v>2350</v>
      </c>
      <c r="O14" s="179">
        <v>2421.0911111111109</v>
      </c>
      <c r="P14" s="300">
        <f t="shared" ref="P14:P19" si="15">O14-N14</f>
        <v>71.091111111110877</v>
      </c>
      <c r="Q14" s="352">
        <f>-P14/$N$19</f>
        <v>-4.298782228940945E-2</v>
      </c>
      <c r="R14" s="328">
        <v>50290</v>
      </c>
      <c r="S14" s="309">
        <v>50750</v>
      </c>
      <c r="T14" s="300">
        <f t="shared" ref="T14:T19" si="16">S14-R14</f>
        <v>460</v>
      </c>
      <c r="U14" s="352">
        <f>-T14/$R$19</f>
        <v>-2.1103821626829382E-2</v>
      </c>
    </row>
    <row r="15" spans="1:21" ht="16" x14ac:dyDescent="0.2">
      <c r="A15" s="302" t="s">
        <v>52</v>
      </c>
      <c r="B15" s="319">
        <v>15614</v>
      </c>
      <c r="C15" s="308">
        <v>15549</v>
      </c>
      <c r="D15" s="300">
        <f t="shared" ref="D15:D19" si="17">C15-B15</f>
        <v>-65</v>
      </c>
      <c r="E15" s="352">
        <f>-D15/$B$19</f>
        <v>4.6237018068003982E-3</v>
      </c>
      <c r="F15" s="319">
        <v>13878</v>
      </c>
      <c r="G15" s="308">
        <v>14001.669027310347</v>
      </c>
      <c r="H15" s="300">
        <f t="shared" si="13"/>
        <v>123.66902731034679</v>
      </c>
      <c r="I15" s="352">
        <f>-H15/F19</f>
        <v>-1.8608739015212247E-2</v>
      </c>
      <c r="J15" s="179">
        <v>8749</v>
      </c>
      <c r="K15" s="179">
        <v>9138</v>
      </c>
      <c r="L15" s="300">
        <f t="shared" si="14"/>
        <v>389</v>
      </c>
      <c r="M15" s="352">
        <f>-L15/$J$19</f>
        <v>-0.65159128978224456</v>
      </c>
      <c r="N15" s="179">
        <v>3945</v>
      </c>
      <c r="O15" s="179">
        <v>3944.4444444444443</v>
      </c>
      <c r="P15" s="300">
        <f t="shared" si="15"/>
        <v>-0.55555555555565661</v>
      </c>
      <c r="Q15" s="352">
        <f>-P15/$N$19</f>
        <v>3.3593684387341294E-4</v>
      </c>
      <c r="R15" s="328">
        <v>38032</v>
      </c>
      <c r="S15" s="309">
        <v>38480</v>
      </c>
      <c r="T15" s="300">
        <f t="shared" si="16"/>
        <v>448</v>
      </c>
      <c r="U15" s="352">
        <f>-T15/$R$19</f>
        <v>-2.0553287149607743E-2</v>
      </c>
    </row>
    <row r="16" spans="1:21" ht="16" x14ac:dyDescent="0.2">
      <c r="A16" s="302" t="s">
        <v>57</v>
      </c>
      <c r="B16" s="319">
        <v>359</v>
      </c>
      <c r="C16" s="308">
        <v>385</v>
      </c>
      <c r="D16" s="300">
        <f t="shared" si="17"/>
        <v>26</v>
      </c>
      <c r="E16" s="352">
        <f t="shared" ref="E16:E19" si="18">D16/$B$19</f>
        <v>1.8494807227201592E-3</v>
      </c>
      <c r="F16" s="319">
        <v>619</v>
      </c>
      <c r="G16" s="308">
        <v>668.71227586206896</v>
      </c>
      <c r="H16" s="300">
        <f t="shared" si="13"/>
        <v>49.712275862068964</v>
      </c>
      <c r="I16" s="352">
        <f>H16/F19</f>
        <v>7.4803108546167042E-3</v>
      </c>
      <c r="J16" s="179">
        <v>800</v>
      </c>
      <c r="K16" s="179">
        <v>803</v>
      </c>
      <c r="L16" s="300">
        <f t="shared" si="14"/>
        <v>3</v>
      </c>
      <c r="M16" s="352">
        <f t="shared" ref="M16" si="19">L16/$J$19</f>
        <v>5.0251256281407036E-3</v>
      </c>
      <c r="N16" s="179">
        <v>10</v>
      </c>
      <c r="O16" s="179">
        <v>15</v>
      </c>
      <c r="P16" s="300">
        <f t="shared" si="15"/>
        <v>5</v>
      </c>
      <c r="Q16" s="352">
        <f t="shared" ref="Q16" si="20">P16/$N$19</f>
        <v>3.0234315948601664E-3</v>
      </c>
      <c r="R16" s="328">
        <v>2274</v>
      </c>
      <c r="S16" s="309">
        <v>2205</v>
      </c>
      <c r="T16" s="300">
        <f t="shared" si="16"/>
        <v>-69</v>
      </c>
      <c r="U16" s="352">
        <f t="shared" ref="U16" si="21">T16/$R$19</f>
        <v>-3.1655732440244071E-3</v>
      </c>
    </row>
    <row r="17" spans="1:21" ht="16" x14ac:dyDescent="0.2">
      <c r="A17" s="302" t="s">
        <v>60</v>
      </c>
      <c r="B17" s="319">
        <v>101</v>
      </c>
      <c r="C17" s="308">
        <v>100</v>
      </c>
      <c r="D17" s="300">
        <f t="shared" si="17"/>
        <v>-1</v>
      </c>
      <c r="E17" s="352">
        <f>-D17/$B$19</f>
        <v>7.1133873950775353E-5</v>
      </c>
      <c r="F17" s="319">
        <v>80</v>
      </c>
      <c r="G17" s="308">
        <v>100</v>
      </c>
      <c r="H17" s="300">
        <f t="shared" si="13"/>
        <v>20</v>
      </c>
      <c r="I17" s="352">
        <f>-H17/F19</f>
        <v>-3.00944212466614E-3</v>
      </c>
      <c r="J17" s="179">
        <v>5</v>
      </c>
      <c r="K17" s="179">
        <v>10</v>
      </c>
      <c r="L17" s="300">
        <f t="shared" si="14"/>
        <v>5</v>
      </c>
      <c r="M17" s="352">
        <f>-L17/$J$19</f>
        <v>-8.3752093802345051E-3</v>
      </c>
      <c r="N17" s="179">
        <v>10</v>
      </c>
      <c r="O17" s="179">
        <v>12</v>
      </c>
      <c r="P17" s="300">
        <f t="shared" si="15"/>
        <v>2</v>
      </c>
      <c r="Q17" s="352">
        <f>-P17/$N$19</f>
        <v>-1.2093726379440665E-3</v>
      </c>
      <c r="R17" s="328">
        <v>186</v>
      </c>
      <c r="S17" s="309">
        <v>210</v>
      </c>
      <c r="T17" s="300">
        <f t="shared" si="16"/>
        <v>24</v>
      </c>
      <c r="U17" s="352">
        <f>-T17/$R$19</f>
        <v>-1.101068954443272E-3</v>
      </c>
    </row>
    <row r="18" spans="1:21" ht="16" x14ac:dyDescent="0.2">
      <c r="A18" s="302" t="s">
        <v>63</v>
      </c>
      <c r="B18" s="319">
        <v>4686</v>
      </c>
      <c r="C18" s="308">
        <v>4718.25</v>
      </c>
      <c r="D18" s="300">
        <f t="shared" si="17"/>
        <v>32.25</v>
      </c>
      <c r="E18" s="352">
        <f>-D18/$B$19</f>
        <v>-2.2940674349125052E-3</v>
      </c>
      <c r="F18" s="319">
        <v>2215.25</v>
      </c>
      <c r="G18" s="308">
        <v>2367.7520038620696</v>
      </c>
      <c r="H18" s="300">
        <f t="shared" si="13"/>
        <v>152.50200386206961</v>
      </c>
      <c r="I18" s="352">
        <f>-H18/F19</f>
        <v>-2.2947297725925533E-2</v>
      </c>
      <c r="J18" s="180">
        <v>199</v>
      </c>
      <c r="K18" s="180">
        <v>209</v>
      </c>
      <c r="L18" s="300">
        <f t="shared" si="14"/>
        <v>10</v>
      </c>
      <c r="M18" s="352">
        <f>-L18/$J$19</f>
        <v>-1.675041876046901E-2</v>
      </c>
      <c r="N18" s="180">
        <v>551.25</v>
      </c>
      <c r="O18" s="180">
        <v>387.32666666666682</v>
      </c>
      <c r="P18" s="300">
        <f t="shared" si="15"/>
        <v>-163.92333333333318</v>
      </c>
      <c r="Q18" s="352">
        <f>-P18/$N$19</f>
        <v>9.9122197026958833E-2</v>
      </c>
      <c r="R18" s="329">
        <v>7100</v>
      </c>
      <c r="S18" s="311">
        <v>7295</v>
      </c>
      <c r="T18" s="300">
        <f t="shared" si="16"/>
        <v>195</v>
      </c>
      <c r="U18" s="352">
        <f>-T18/$R$19</f>
        <v>-8.9461852548515849E-3</v>
      </c>
    </row>
    <row r="19" spans="1:21" ht="17" thickBot="1" x14ac:dyDescent="0.25">
      <c r="A19" s="302" t="s">
        <v>10</v>
      </c>
      <c r="B19" s="323">
        <v>14058</v>
      </c>
      <c r="C19" s="324">
        <v>14154.75</v>
      </c>
      <c r="D19" s="325">
        <f t="shared" si="17"/>
        <v>96.75</v>
      </c>
      <c r="E19" s="353">
        <f t="shared" si="18"/>
        <v>6.8822023047375161E-3</v>
      </c>
      <c r="F19" s="323">
        <v>6645.75</v>
      </c>
      <c r="G19" s="324">
        <v>7103.2560115862088</v>
      </c>
      <c r="H19" s="325">
        <f t="shared" si="13"/>
        <v>457.50601158620884</v>
      </c>
      <c r="I19" s="353">
        <f>H19/F19</f>
        <v>6.88418931777766E-2</v>
      </c>
      <c r="J19" s="327">
        <v>597</v>
      </c>
      <c r="K19" s="327">
        <v>627</v>
      </c>
      <c r="L19" s="325">
        <f t="shared" si="14"/>
        <v>30</v>
      </c>
      <c r="M19" s="353">
        <f t="shared" ref="M19" si="22">(K19-J19)/J19</f>
        <v>5.0251256281407038E-2</v>
      </c>
      <c r="N19" s="327">
        <v>1653.75</v>
      </c>
      <c r="O19" s="327">
        <v>1161.9800000000005</v>
      </c>
      <c r="P19" s="325">
        <f t="shared" si="15"/>
        <v>-491.76999999999953</v>
      </c>
      <c r="Q19" s="353">
        <f>-P19/N19</f>
        <v>0.29736659108087649</v>
      </c>
      <c r="R19" s="332">
        <v>21797</v>
      </c>
      <c r="S19" s="333">
        <v>22234</v>
      </c>
      <c r="T19" s="325">
        <f t="shared" si="16"/>
        <v>437</v>
      </c>
      <c r="U19" s="353">
        <f t="shared" ref="U19" si="23">(S19-R19)/R19</f>
        <v>2.004863054548791E-2</v>
      </c>
    </row>
    <row r="21" spans="1:21" x14ac:dyDescent="0.2">
      <c r="T21" s="3"/>
    </row>
    <row r="22" spans="1:21" ht="16" x14ac:dyDescent="0.2">
      <c r="A22" s="196"/>
      <c r="B22" s="196"/>
      <c r="C22" s="196"/>
      <c r="D22" s="196"/>
      <c r="E22" s="347" t="s">
        <v>208</v>
      </c>
      <c r="F22" s="196"/>
      <c r="G22" s="196"/>
      <c r="H22" s="196"/>
      <c r="I22" s="196"/>
    </row>
    <row r="23" spans="1:21" ht="17" thickBot="1" x14ac:dyDescent="0.25">
      <c r="A23" s="196"/>
      <c r="B23" s="196"/>
      <c r="C23" s="196"/>
      <c r="D23" s="196"/>
      <c r="E23" s="196"/>
      <c r="F23" s="196"/>
      <c r="G23" s="196"/>
      <c r="H23" s="196"/>
      <c r="I23" s="196"/>
    </row>
    <row r="24" spans="1:21" ht="68" customHeight="1" x14ac:dyDescent="0.2">
      <c r="A24" s="316" t="s">
        <v>209</v>
      </c>
      <c r="B24" s="349" t="s">
        <v>26</v>
      </c>
      <c r="C24" s="350" t="s">
        <v>5</v>
      </c>
      <c r="D24" s="350" t="s">
        <v>204</v>
      </c>
      <c r="E24" s="351" t="s">
        <v>205</v>
      </c>
      <c r="F24" s="196"/>
      <c r="G24" s="196"/>
      <c r="H24" s="424" t="s">
        <v>210</v>
      </c>
      <c r="I24" s="424"/>
    </row>
    <row r="25" spans="1:21" ht="16" x14ac:dyDescent="0.2">
      <c r="A25" s="302" t="s">
        <v>1</v>
      </c>
      <c r="B25" s="319">
        <f>B19</f>
        <v>14058</v>
      </c>
      <c r="C25" s="308">
        <f>C19</f>
        <v>14154.75</v>
      </c>
      <c r="D25" s="300">
        <f>C25-B25</f>
        <v>96.75</v>
      </c>
      <c r="E25" s="334">
        <f>D25/$B$29</f>
        <v>4.4386842225994406E-3</v>
      </c>
      <c r="F25" s="196"/>
      <c r="G25" s="196"/>
      <c r="H25" s="347" t="s">
        <v>1</v>
      </c>
      <c r="I25" s="348">
        <v>1</v>
      </c>
    </row>
    <row r="26" spans="1:21" ht="16" x14ac:dyDescent="0.2">
      <c r="A26" s="302" t="s">
        <v>2</v>
      </c>
      <c r="B26" s="319">
        <f>F19</f>
        <v>6645.75</v>
      </c>
      <c r="C26" s="308">
        <f>G19</f>
        <v>7103.2560115862088</v>
      </c>
      <c r="D26" s="300">
        <f t="shared" ref="D26:D29" si="24">C26-B26</f>
        <v>457.50601158620884</v>
      </c>
      <c r="E26" s="334">
        <f t="shared" ref="E26:E27" si="25">D26/$B$29</f>
        <v>2.0989402742864101E-2</v>
      </c>
      <c r="F26" s="196"/>
      <c r="G26" s="196"/>
      <c r="H26" s="347" t="s">
        <v>2</v>
      </c>
      <c r="I26" s="348">
        <v>0.9</v>
      </c>
    </row>
    <row r="27" spans="1:21" ht="16" x14ac:dyDescent="0.2">
      <c r="A27" s="302" t="s">
        <v>3</v>
      </c>
      <c r="B27" s="319">
        <f>J19</f>
        <v>597</v>
      </c>
      <c r="C27" s="308">
        <f>K19</f>
        <v>627</v>
      </c>
      <c r="D27" s="300">
        <f t="shared" si="24"/>
        <v>30</v>
      </c>
      <c r="E27" s="334">
        <f t="shared" si="25"/>
        <v>1.37633619305409E-3</v>
      </c>
      <c r="F27" s="196"/>
      <c r="G27" s="196"/>
      <c r="H27" s="347" t="s">
        <v>3</v>
      </c>
      <c r="I27" s="348">
        <v>0.6</v>
      </c>
    </row>
    <row r="28" spans="1:21" ht="16" x14ac:dyDescent="0.2">
      <c r="A28" s="302" t="s">
        <v>211</v>
      </c>
      <c r="B28" s="319">
        <f>N19</f>
        <v>1653.75</v>
      </c>
      <c r="C28" s="308">
        <f>O19</f>
        <v>1161.9800000000005</v>
      </c>
      <c r="D28" s="300">
        <f>(C28-B28)*0.3</f>
        <v>-147.53099999999986</v>
      </c>
      <c r="E28" s="334">
        <f>D28/$B$29</f>
        <v>-6.7684084965820923E-3</v>
      </c>
      <c r="F28" s="196"/>
      <c r="G28" s="196"/>
      <c r="H28" s="347" t="s">
        <v>4</v>
      </c>
      <c r="I28" s="348">
        <v>0.3</v>
      </c>
    </row>
    <row r="29" spans="1:21" ht="17" thickBot="1" x14ac:dyDescent="0.25">
      <c r="A29" s="302" t="s">
        <v>139</v>
      </c>
      <c r="B29" s="323">
        <f>R19</f>
        <v>21797</v>
      </c>
      <c r="C29" s="324">
        <f>S19</f>
        <v>22234</v>
      </c>
      <c r="D29" s="325">
        <f t="shared" si="24"/>
        <v>437</v>
      </c>
      <c r="E29" s="335">
        <f>D29/$B$29</f>
        <v>2.004863054548791E-2</v>
      </c>
      <c r="F29" s="196"/>
      <c r="G29" s="196"/>
      <c r="H29" s="196"/>
      <c r="I29" s="196"/>
    </row>
    <row r="30" spans="1:21" ht="16" x14ac:dyDescent="0.2">
      <c r="A30" s="196"/>
      <c r="B30" s="196"/>
      <c r="C30" s="196"/>
      <c r="D30" s="196"/>
      <c r="E30" s="196"/>
      <c r="F30" s="196"/>
      <c r="G30" s="196"/>
      <c r="H30" s="196"/>
      <c r="I30" s="196"/>
    </row>
  </sheetData>
  <mergeCells count="6">
    <mergeCell ref="R2:U2"/>
    <mergeCell ref="H24:I24"/>
    <mergeCell ref="B2:E2"/>
    <mergeCell ref="F2:I2"/>
    <mergeCell ref="J2:M2"/>
    <mergeCell ref="N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Вводные</vt:lpstr>
      <vt:lpstr>Консолидация---&gt;</vt:lpstr>
      <vt:lpstr>ОДДС</vt:lpstr>
      <vt:lpstr>ОПУ</vt:lpstr>
      <vt:lpstr>Баланс</vt:lpstr>
      <vt:lpstr>Группа компаний Конс.Отчетность</vt:lpstr>
      <vt:lpstr>Финансовые показатели</vt:lpstr>
      <vt:lpstr>План факт анализ</vt:lpstr>
      <vt:lpstr>Факторный анализ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Arch Bin</dc:creator>
  <cp:keywords/>
  <dc:description/>
  <cp:lastModifiedBy>Андрей Киселев</cp:lastModifiedBy>
  <cp:revision/>
  <dcterms:created xsi:type="dcterms:W3CDTF">2023-12-22T06:40:20Z</dcterms:created>
  <dcterms:modified xsi:type="dcterms:W3CDTF">2026-07-22T18:14:16Z</dcterms:modified>
  <cp:category/>
  <cp:contentStatus/>
</cp:coreProperties>
</file>